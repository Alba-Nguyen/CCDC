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SMI/"/>
    </mc:Choice>
  </mc:AlternateContent>
  <xr:revisionPtr revIDLastSave="10" documentId="11_39E9E208D5708EA4EF01F005C15EEC2381D34277" xr6:coauthVersionLast="47" xr6:coauthVersionMax="47" xr10:uidLastSave="{CD55A5C0-C849-464D-A0DC-DFF9D6F09400}"/>
  <bookViews>
    <workbookView xWindow="-108" yWindow="-108" windowWidth="23256" windowHeight="12456" xr2:uid="{00000000-000D-0000-FFFF-FFFF00000000}"/>
  </bookViews>
  <sheets>
    <sheet name="Bảng tổng hợp tài sả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2" l="1"/>
  <c r="T16" i="2"/>
  <c r="S16" i="2"/>
  <c r="Q16" i="2"/>
  <c r="P16" i="2"/>
  <c r="O16" i="2"/>
  <c r="N16" i="2"/>
  <c r="M16" i="2"/>
  <c r="L16" i="2"/>
</calcChain>
</file>

<file path=xl/sharedStrings.xml><?xml version="1.0" encoding="utf-8"?>
<sst xmlns="http://schemas.openxmlformats.org/spreadsheetml/2006/main" count="91" uniqueCount="64">
  <si>
    <t>BẢNG TỔNG HỢP TÀI SẢN</t>
  </si>
  <si>
    <t>Sáu tháng đầu năm 2026</t>
  </si>
  <si>
    <t>Stt</t>
  </si>
  <si>
    <t>Mã số</t>
  </si>
  <si>
    <t>Tên tài sản</t>
  </si>
  <si>
    <t>Đvt</t>
  </si>
  <si>
    <t>Phòng ban/ bộ phận</t>
  </si>
  <si>
    <t>Division</t>
  </si>
  <si>
    <t>Tên Division</t>
  </si>
  <si>
    <t>Khoản mục</t>
  </si>
  <si>
    <t>Ngày
bắt đầu
khấu hao</t>
  </si>
  <si>
    <t>Số tháng khấu hao</t>
  </si>
  <si>
    <t>Số lượng</t>
  </si>
  <si>
    <t>Giá trị tài sản đầu kỳ</t>
  </si>
  <si>
    <t>Khấu hao trong kỳ</t>
  </si>
  <si>
    <t>Giá trị tài sản cuối kỳ</t>
  </si>
  <si>
    <t>Nguyên giá</t>
  </si>
  <si>
    <t>Hao mòn</t>
  </si>
  <si>
    <t>Giá trị còn lại</t>
  </si>
  <si>
    <t>FA.4.0001</t>
  </si>
  <si>
    <t>Xe máy Yamaha Nozza</t>
  </si>
  <si>
    <t>Chiếc</t>
  </si>
  <si>
    <t>SH-ADM</t>
  </si>
  <si>
    <t>Bộ Phận Hành Chính</t>
  </si>
  <si>
    <t>QL.04.142</t>
  </si>
  <si>
    <t>SITS.1.0002</t>
  </si>
  <si>
    <t>Thi công xây dựng nhà xưởng</t>
  </si>
  <si>
    <t>Lần</t>
  </si>
  <si>
    <t>SCM</t>
  </si>
  <si>
    <t>SH-LOS</t>
  </si>
  <si>
    <t>Bộ Phận Kho Vận</t>
  </si>
  <si>
    <t>SITS.1.0003</t>
  </si>
  <si>
    <t>Hệ thống PCCC cho kho</t>
  </si>
  <si>
    <t>Bộ</t>
  </si>
  <si>
    <t>SITS.1.0004</t>
  </si>
  <si>
    <t>Xe ô tô con 5 chỗ SUBARU</t>
  </si>
  <si>
    <t>Cái</t>
  </si>
  <si>
    <t>HRA</t>
  </si>
  <si>
    <t>SITS.1.0005</t>
  </si>
  <si>
    <t>Xe nâng điện 1.5 tấn  NICHIYU Model: FBRM15-80 Nhật Bản</t>
  </si>
  <si>
    <t>SITS.1.0008</t>
  </si>
  <si>
    <t>Xe mô tô 2 bánh JK 121 Lead</t>
  </si>
  <si>
    <t>BGD</t>
  </si>
  <si>
    <t>SH-BOD</t>
  </si>
  <si>
    <t>Ban Giám Đốc</t>
  </si>
  <si>
    <t>SITS.4.0004</t>
  </si>
  <si>
    <t>Hệ thống wifi</t>
  </si>
  <si>
    <t>HRM</t>
  </si>
  <si>
    <t>SITS.5.0001</t>
  </si>
  <si>
    <t>Phần mềm Bravo</t>
  </si>
  <si>
    <t>C/trl</t>
  </si>
  <si>
    <t>ACC</t>
  </si>
  <si>
    <t>SH-FIN</t>
  </si>
  <si>
    <t>Phòng Tài Chính</t>
  </si>
  <si>
    <t>SITS.5.0002</t>
  </si>
  <si>
    <t>Phần mềm Bravo 8R2</t>
  </si>
  <si>
    <t>Bản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</si>
  <si>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</si>
  <si>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</si>
  <si>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</si>
  <si>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</si>
  <si>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</si>
  <si>
    <t>BCĐPS</t>
  </si>
  <si>
    <t>Chênh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</si>
</sst>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6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DF5E6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2" fillId="4" borderId="9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top"/>
    </xf>
    <xf numFmtId="0" fontId="2" fillId="4" borderId="11" xfId="0" applyFont="1" applyFill="1" applyBorder="1" applyAlignment="1">
      <alignment horizontal="center" vertical="top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164" fontId="3" fillId="2" borderId="8" xfId="0" applyNumberFormat="1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3" fontId="2" fillId="4" borderId="9" xfId="0" applyNumberFormat="1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center" vertical="top"/>
    </xf>
    <xf numFmtId="3" fontId="3" fillId="2" borderId="12" xfId="0" applyNumberFormat="1" applyFont="1" applyFill="1" applyBorder="1" applyAlignment="1">
      <alignment horizontal="right" vertical="top"/>
    </xf>
    <xf numFmtId="3" fontId="2" fillId="4" borderId="13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left" vertical="top" wrapText="1"/>
    </xf>
    <xf numFmtId="3" fontId="2" fillId="4" borderId="0" xfId="0" applyNumberFormat="1" applyFont="1" applyFill="1" applyBorder="1" applyAlignment="1">
      <alignment horizontal="right" vertical="top"/>
    </xf>
    <xf numFmtId="3" fontId="2" fillId="5" borderId="0" xfId="0" applyNumberFormat="1" applyFont="1" applyFill="1" applyBorder="1" applyAlignment="1">
      <alignment horizontal="right" vertical="top"/>
    </xf>
    <xf numFmtId="3" fontId="2" fillId="4" borderId="1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TNHH SMART INGREDIENTS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0312654914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1"/>
  <sheetViews>
    <sheetView showGridLines="0" showZeros="0" tabSelected="1" topLeftCell="B1" zoomScale="85" zoomScaleNormal="85" workbookViewId="0">
      <selection activeCell="D20" sqref="D20:Q20"/>
    </sheetView>
  </sheetViews>
  <sheetFormatPr defaultRowHeight="14.4" x14ac:dyDescent="0.3"/>
  <cols>
    <col min="1" max="1" width="5"/>
    <col min="2" max="2" width="12.44140625"/>
    <col min="3" max="3" width="24.21875"/>
    <col min="4" max="4" width="13.6640625"/>
    <col min="5" max="5" width="7.77734375"/>
    <col min="6" max="6" width="9.44140625"/>
    <col min="7" max="7" width="12.44140625"/>
    <col min="8" max="9" width="19.44140625"/>
    <col min="10" max="10" width="10.6640625"/>
    <col min="11" max="11" width="10.88671875"/>
    <col min="12" max="12" width="7"/>
    <col min="13" max="14" width="14.6640625"/>
    <col min="15" max="15" width="13.88671875"/>
    <col min="16" max="16" width="13.44140625"/>
    <col min="17" max="17" width="2.77734375"/>
    <col min="18" max="18" width="11.88671875"/>
    <col min="19" max="19" width="14.6640625"/>
    <col min="20" max="20" width="13.109375"/>
  </cols>
  <sheetData>
    <row r="1" spans="1:20" ht="52.2" customHeight="1" x14ac:dyDescent="0.3">
      <c r="A1" s="15"/>
    </row>
    <row r="2" spans="1:20" ht="19.2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15.6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7.2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8.600000000000001" customHeight="1" x14ac:dyDescent="0.3">
      <c r="A5" s="11" t="s">
        <v>2</v>
      </c>
      <c r="B5" s="9" t="s">
        <v>3</v>
      </c>
      <c r="C5" s="9" t="s">
        <v>4</v>
      </c>
      <c r="D5" s="9"/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/>
      <c r="O5" s="9"/>
      <c r="P5" s="9" t="s">
        <v>14</v>
      </c>
      <c r="Q5" s="9" t="s">
        <v>15</v>
      </c>
      <c r="R5" s="9"/>
      <c r="S5" s="9"/>
      <c r="T5" s="7"/>
    </row>
    <row r="6" spans="1:20" ht="18.600000000000001" customHeight="1" x14ac:dyDescent="0.3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16" t="s">
        <v>16</v>
      </c>
      <c r="N6" s="16" t="s">
        <v>17</v>
      </c>
      <c r="O6" s="16" t="s">
        <v>18</v>
      </c>
      <c r="P6" s="8"/>
      <c r="Q6" s="8" t="s">
        <v>16</v>
      </c>
      <c r="R6" s="8"/>
      <c r="S6" s="16" t="s">
        <v>17</v>
      </c>
      <c r="T6" s="17" t="s">
        <v>18</v>
      </c>
    </row>
    <row r="7" spans="1:20" ht="16.2" customHeight="1" x14ac:dyDescent="0.3">
      <c r="A7" s="24">
        <v>1</v>
      </c>
      <c r="B7" s="18" t="s">
        <v>19</v>
      </c>
      <c r="C7" s="6" t="s">
        <v>20</v>
      </c>
      <c r="D7" s="6"/>
      <c r="E7" s="18" t="s">
        <v>21</v>
      </c>
      <c r="F7" s="18"/>
      <c r="G7" s="18" t="s">
        <v>22</v>
      </c>
      <c r="H7" s="18" t="s">
        <v>23</v>
      </c>
      <c r="I7" s="19" t="s">
        <v>24</v>
      </c>
      <c r="J7" s="20">
        <v>42157</v>
      </c>
      <c r="K7" s="21"/>
      <c r="L7" s="22"/>
      <c r="M7" s="22">
        <v>36272727</v>
      </c>
      <c r="N7" s="22">
        <v>36272727</v>
      </c>
      <c r="O7" s="22">
        <v>0</v>
      </c>
      <c r="P7" s="22">
        <v>0</v>
      </c>
      <c r="Q7" s="5">
        <v>36272727</v>
      </c>
      <c r="R7" s="5"/>
      <c r="S7" s="22">
        <v>36272727</v>
      </c>
      <c r="T7" s="25">
        <v>0</v>
      </c>
    </row>
    <row r="8" spans="1:20" ht="16.2" customHeight="1" x14ac:dyDescent="0.3">
      <c r="A8" s="24">
        <v>2</v>
      </c>
      <c r="B8" s="18" t="s">
        <v>25</v>
      </c>
      <c r="C8" s="6" t="s">
        <v>26</v>
      </c>
      <c r="D8" s="6"/>
      <c r="E8" s="18" t="s">
        <v>27</v>
      </c>
      <c r="F8" s="18" t="s">
        <v>28</v>
      </c>
      <c r="G8" s="18" t="s">
        <v>29</v>
      </c>
      <c r="H8" s="18" t="s">
        <v>30</v>
      </c>
      <c r="I8" s="19" t="s">
        <v>24</v>
      </c>
      <c r="J8" s="20">
        <v>43116</v>
      </c>
      <c r="K8" s="21">
        <v>120</v>
      </c>
      <c r="L8" s="22">
        <v>1</v>
      </c>
      <c r="M8" s="22">
        <v>3277559000</v>
      </c>
      <c r="N8" s="22">
        <v>2566058650</v>
      </c>
      <c r="O8" s="22">
        <v>711500350</v>
      </c>
      <c r="P8" s="22">
        <v>172657792</v>
      </c>
      <c r="Q8" s="5">
        <v>3277559000</v>
      </c>
      <c r="R8" s="5"/>
      <c r="S8" s="22">
        <v>2738716442</v>
      </c>
      <c r="T8" s="25">
        <v>538842558</v>
      </c>
    </row>
    <row r="9" spans="1:20" ht="16.2" customHeight="1" x14ac:dyDescent="0.3">
      <c r="A9" s="24">
        <v>3</v>
      </c>
      <c r="B9" s="18" t="s">
        <v>31</v>
      </c>
      <c r="C9" s="6" t="s">
        <v>32</v>
      </c>
      <c r="D9" s="6"/>
      <c r="E9" s="18" t="s">
        <v>33</v>
      </c>
      <c r="F9" s="18" t="s">
        <v>28</v>
      </c>
      <c r="G9" s="18" t="s">
        <v>29</v>
      </c>
      <c r="H9" s="18" t="s">
        <v>30</v>
      </c>
      <c r="I9" s="19" t="s">
        <v>24</v>
      </c>
      <c r="J9" s="20">
        <v>43192</v>
      </c>
      <c r="K9" s="21">
        <v>84</v>
      </c>
      <c r="L9" s="22">
        <v>0</v>
      </c>
      <c r="M9" s="22">
        <v>250000000</v>
      </c>
      <c r="N9" s="22">
        <v>250000000</v>
      </c>
      <c r="O9" s="22">
        <v>0</v>
      </c>
      <c r="P9" s="22">
        <v>0</v>
      </c>
      <c r="Q9" s="5">
        <v>250000000</v>
      </c>
      <c r="R9" s="5"/>
      <c r="S9" s="22">
        <v>250000000</v>
      </c>
      <c r="T9" s="25">
        <v>0</v>
      </c>
    </row>
    <row r="10" spans="1:20" ht="16.2" customHeight="1" x14ac:dyDescent="0.3">
      <c r="A10" s="24">
        <v>4</v>
      </c>
      <c r="B10" s="18" t="s">
        <v>34</v>
      </c>
      <c r="C10" s="6" t="s">
        <v>35</v>
      </c>
      <c r="D10" s="6"/>
      <c r="E10" s="18" t="s">
        <v>36</v>
      </c>
      <c r="F10" s="18" t="s">
        <v>37</v>
      </c>
      <c r="G10" s="18" t="s">
        <v>22</v>
      </c>
      <c r="H10" s="18" t="s">
        <v>23</v>
      </c>
      <c r="I10" s="19" t="s">
        <v>24</v>
      </c>
      <c r="J10" s="20">
        <v>45108</v>
      </c>
      <c r="K10" s="21">
        <v>72</v>
      </c>
      <c r="L10" s="22">
        <v>5</v>
      </c>
      <c r="M10" s="22">
        <v>840968182</v>
      </c>
      <c r="N10" s="22">
        <v>350403420</v>
      </c>
      <c r="O10" s="22">
        <v>490564762</v>
      </c>
      <c r="P10" s="22">
        <v>70080684</v>
      </c>
      <c r="Q10" s="5">
        <v>840968182</v>
      </c>
      <c r="R10" s="5"/>
      <c r="S10" s="22">
        <v>420484104</v>
      </c>
      <c r="T10" s="25">
        <v>420484078</v>
      </c>
    </row>
    <row r="11" spans="1:20" ht="25.8" customHeight="1" x14ac:dyDescent="0.3">
      <c r="A11" s="24">
        <v>5</v>
      </c>
      <c r="B11" s="18" t="s">
        <v>38</v>
      </c>
      <c r="C11" s="6" t="s">
        <v>39</v>
      </c>
      <c r="D11" s="6"/>
      <c r="E11" s="18" t="s">
        <v>21</v>
      </c>
      <c r="F11" s="18" t="s">
        <v>28</v>
      </c>
      <c r="G11" s="18" t="s">
        <v>29</v>
      </c>
      <c r="H11" s="18" t="s">
        <v>30</v>
      </c>
      <c r="I11" s="19" t="s">
        <v>24</v>
      </c>
      <c r="J11" s="20">
        <v>45183</v>
      </c>
      <c r="K11" s="21">
        <v>72</v>
      </c>
      <c r="L11" s="22">
        <v>0</v>
      </c>
      <c r="M11" s="22">
        <v>140000000</v>
      </c>
      <c r="N11" s="22">
        <v>53601840</v>
      </c>
      <c r="O11" s="22">
        <v>86398160</v>
      </c>
      <c r="P11" s="22">
        <v>11666664</v>
      </c>
      <c r="Q11" s="5">
        <v>140000000</v>
      </c>
      <c r="R11" s="5"/>
      <c r="S11" s="22">
        <v>65268504</v>
      </c>
      <c r="T11" s="25">
        <v>74731496</v>
      </c>
    </row>
    <row r="12" spans="1:20" ht="16.2" customHeight="1" x14ac:dyDescent="0.3">
      <c r="A12" s="24">
        <v>6</v>
      </c>
      <c r="B12" s="18" t="s">
        <v>40</v>
      </c>
      <c r="C12" s="6" t="s">
        <v>41</v>
      </c>
      <c r="D12" s="6"/>
      <c r="E12" s="18" t="s">
        <v>21</v>
      </c>
      <c r="F12" s="18" t="s">
        <v>42</v>
      </c>
      <c r="G12" s="18" t="s">
        <v>43</v>
      </c>
      <c r="H12" s="18" t="s">
        <v>44</v>
      </c>
      <c r="I12" s="19" t="s">
        <v>24</v>
      </c>
      <c r="J12" s="20">
        <v>45446</v>
      </c>
      <c r="K12" s="21">
        <v>72</v>
      </c>
      <c r="L12" s="22">
        <v>1</v>
      </c>
      <c r="M12" s="22">
        <v>44803704</v>
      </c>
      <c r="N12" s="22">
        <v>11781721</v>
      </c>
      <c r="O12" s="22">
        <v>33021983</v>
      </c>
      <c r="P12" s="22">
        <v>3733644</v>
      </c>
      <c r="Q12" s="5">
        <v>44803704</v>
      </c>
      <c r="R12" s="5"/>
      <c r="S12" s="22">
        <v>15515365</v>
      </c>
      <c r="T12" s="25">
        <v>29288339</v>
      </c>
    </row>
    <row r="13" spans="1:20" ht="16.2" customHeight="1" x14ac:dyDescent="0.3">
      <c r="A13" s="24">
        <v>7</v>
      </c>
      <c r="B13" s="18" t="s">
        <v>45</v>
      </c>
      <c r="C13" s="6" t="s">
        <v>46</v>
      </c>
      <c r="D13" s="6"/>
      <c r="E13" s="18" t="s">
        <v>33</v>
      </c>
      <c r="F13" s="18" t="s">
        <v>47</v>
      </c>
      <c r="G13" s="18" t="s">
        <v>22</v>
      </c>
      <c r="H13" s="18" t="s">
        <v>23</v>
      </c>
      <c r="I13" s="19" t="s">
        <v>24</v>
      </c>
      <c r="J13" s="20">
        <v>43748</v>
      </c>
      <c r="K13" s="21">
        <v>60</v>
      </c>
      <c r="L13" s="22">
        <v>1</v>
      </c>
      <c r="M13" s="22">
        <v>110252000</v>
      </c>
      <c r="N13" s="22">
        <v>110252000</v>
      </c>
      <c r="O13" s="22">
        <v>0</v>
      </c>
      <c r="P13" s="22">
        <v>0</v>
      </c>
      <c r="Q13" s="5">
        <v>110252000</v>
      </c>
      <c r="R13" s="5"/>
      <c r="S13" s="22">
        <v>110252000</v>
      </c>
      <c r="T13" s="25">
        <v>0</v>
      </c>
    </row>
    <row r="14" spans="1:20" ht="16.2" customHeight="1" x14ac:dyDescent="0.3">
      <c r="A14" s="24">
        <v>8</v>
      </c>
      <c r="B14" s="18" t="s">
        <v>48</v>
      </c>
      <c r="C14" s="6" t="s">
        <v>49</v>
      </c>
      <c r="D14" s="6"/>
      <c r="E14" s="18" t="s">
        <v>50</v>
      </c>
      <c r="F14" s="18" t="s">
        <v>51</v>
      </c>
      <c r="G14" s="18" t="s">
        <v>52</v>
      </c>
      <c r="H14" s="18" t="s">
        <v>53</v>
      </c>
      <c r="I14" s="19" t="s">
        <v>24</v>
      </c>
      <c r="J14" s="20">
        <v>42576</v>
      </c>
      <c r="K14" s="21">
        <v>60</v>
      </c>
      <c r="L14" s="22">
        <v>1</v>
      </c>
      <c r="M14" s="22">
        <v>40000000</v>
      </c>
      <c r="N14" s="22">
        <v>40000000</v>
      </c>
      <c r="O14" s="22">
        <v>0</v>
      </c>
      <c r="P14" s="22">
        <v>0</v>
      </c>
      <c r="Q14" s="5">
        <v>40000000</v>
      </c>
      <c r="R14" s="5"/>
      <c r="S14" s="22">
        <v>40000000</v>
      </c>
      <c r="T14" s="25">
        <v>0</v>
      </c>
    </row>
    <row r="15" spans="1:20" ht="16.2" customHeight="1" x14ac:dyDescent="0.3">
      <c r="A15" s="24">
        <v>9</v>
      </c>
      <c r="B15" s="18" t="s">
        <v>54</v>
      </c>
      <c r="C15" s="6" t="s">
        <v>55</v>
      </c>
      <c r="D15" s="6"/>
      <c r="E15" s="18" t="s">
        <v>56</v>
      </c>
      <c r="F15" s="18"/>
      <c r="G15" s="18" t="s">
        <v>43</v>
      </c>
      <c r="H15" s="18" t="s">
        <v>44</v>
      </c>
      <c r="I15" s="19" t="s">
        <v>24</v>
      </c>
      <c r="J15" s="20">
        <v>44744</v>
      </c>
      <c r="K15" s="21">
        <v>60</v>
      </c>
      <c r="L15" s="22">
        <v>1</v>
      </c>
      <c r="M15" s="22">
        <v>352580000</v>
      </c>
      <c r="N15" s="22">
        <v>236058301</v>
      </c>
      <c r="O15" s="22">
        <v>116521699</v>
      </c>
      <c r="P15" s="22">
        <v>35656178</v>
      </c>
      <c r="Q15" s="5">
        <v>352580000</v>
      </c>
      <c r="R15" s="5"/>
      <c r="S15" s="22">
        <v>271714479</v>
      </c>
      <c r="T15" s="25">
        <v>80865521</v>
      </c>
    </row>
    <row r="16" spans="1:20" ht="14.4" customHeight="1" x14ac:dyDescent="0.3">
      <c r="A16" s="4"/>
      <c r="B16" s="3"/>
      <c r="C16" s="2" t="s">
        <v>57</v>
      </c>
      <c r="D16" s="2"/>
      <c r="E16" s="2"/>
      <c r="F16" s="2"/>
      <c r="G16" s="2"/>
      <c r="H16" s="2"/>
      <c r="I16" s="2"/>
      <c r="J16" s="2"/>
      <c r="K16" s="2"/>
      <c r="L16" s="23">
        <f t="shared" ref="L16:Q16" si="0">SUBTOTAL(9,L7:L15)</f>
        <v>10</v>
      </c>
      <c r="M16" s="23">
        <f t="shared" si="0"/>
        <v>5092435613</v>
      </c>
      <c r="N16" s="23">
        <f t="shared" si="0"/>
        <v>3654428659</v>
      </c>
      <c r="O16" s="23">
        <f t="shared" si="0"/>
        <v>1438006954</v>
      </c>
      <c r="P16" s="23">
        <f t="shared" si="0"/>
        <v>293794962</v>
      </c>
      <c r="Q16" s="1">
        <f t="shared" si="0"/>
        <v>5092435613</v>
      </c>
      <c r="R16" s="1"/>
      <c r="S16" s="35">
        <f>SUBTOTAL(9,S7:S15)</f>
        <v>3948223621</v>
      </c>
      <c r="T16" s="26">
        <f>SUBTOTAL(9,T7:T15)</f>
        <v>1144211992</v>
      </c>
    </row>
    <row r="17" spans="1:20" ht="14.4" customHeight="1" x14ac:dyDescent="0.3">
      <c r="A17" s="31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  <c r="M17" s="33"/>
      <c r="N17" s="33"/>
      <c r="O17" s="33"/>
      <c r="P17" s="33"/>
      <c r="Q17" s="33"/>
      <c r="R17" s="33" t="s">
        <v>62</v>
      </c>
      <c r="S17" s="34">
        <v>3948223621</v>
      </c>
      <c r="T17" s="33"/>
    </row>
    <row r="18" spans="1:20" ht="14.4" customHeight="1" x14ac:dyDescent="0.3">
      <c r="A18" s="31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33"/>
      <c r="N18" s="33"/>
      <c r="O18" s="33"/>
      <c r="P18" s="33"/>
      <c r="Q18" s="33"/>
      <c r="R18" s="33" t="s">
        <v>63</v>
      </c>
      <c r="S18" s="33">
        <f>S16-S17</f>
        <v>0</v>
      </c>
      <c r="T18" s="33"/>
    </row>
    <row r="19" spans="1:20" ht="19.8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8" t="s">
        <v>58</v>
      </c>
      <c r="S19" s="28"/>
      <c r="T19" s="28"/>
    </row>
    <row r="20" spans="1:20" ht="13.8" customHeight="1" x14ac:dyDescent="0.3">
      <c r="A20" s="29" t="s">
        <v>59</v>
      </c>
      <c r="B20" s="29"/>
      <c r="C20" s="29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9" t="s">
        <v>60</v>
      </c>
      <c r="S20" s="29"/>
      <c r="T20" s="29"/>
    </row>
    <row r="21" spans="1:20" ht="21.6" customHeight="1" x14ac:dyDescent="0.3">
      <c r="A21" s="30" t="s">
        <v>61</v>
      </c>
      <c r="B21" s="30"/>
      <c r="C21" s="30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30" t="s">
        <v>61</v>
      </c>
      <c r="S21" s="30"/>
      <c r="T21" s="30"/>
    </row>
  </sheetData>
  <mergeCells count="48">
    <mergeCell ref="A21:C21"/>
    <mergeCell ref="D21:Q21"/>
    <mergeCell ref="R21:T21"/>
    <mergeCell ref="A19:C19"/>
    <mergeCell ref="D19:Q19"/>
    <mergeCell ref="R19:T19"/>
    <mergeCell ref="A20:C20"/>
    <mergeCell ref="D20:Q20"/>
    <mergeCell ref="R20:T20"/>
    <mergeCell ref="C15:D15"/>
    <mergeCell ref="Q15:R15"/>
    <mergeCell ref="A16:B16"/>
    <mergeCell ref="C16:K16"/>
    <mergeCell ref="Q16:R16"/>
    <mergeCell ref="C12:D12"/>
    <mergeCell ref="Q12:R12"/>
    <mergeCell ref="C13:D13"/>
    <mergeCell ref="Q13:R13"/>
    <mergeCell ref="C14:D14"/>
    <mergeCell ref="Q14:R14"/>
    <mergeCell ref="C9:D9"/>
    <mergeCell ref="Q9:R9"/>
    <mergeCell ref="C10:D10"/>
    <mergeCell ref="Q10:R10"/>
    <mergeCell ref="C11:D11"/>
    <mergeCell ref="Q11:R11"/>
    <mergeCell ref="Q5:T5"/>
    <mergeCell ref="Q6:R6"/>
    <mergeCell ref="C7:D7"/>
    <mergeCell ref="Q7:R7"/>
    <mergeCell ref="C8:D8"/>
    <mergeCell ref="Q8:R8"/>
    <mergeCell ref="A2:T2"/>
    <mergeCell ref="A3:T3"/>
    <mergeCell ref="A4:T4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K6"/>
    <mergeCell ref="L5:L6"/>
    <mergeCell ref="M5:O5"/>
    <mergeCell ref="P5:P6"/>
  </mergeCells>
  <printOptions horizontalCentered="1"/>
  <pageMargins left="0" right="0" top="0.58999997377395597" bottom="0.58999997377395597" header="0.5" footer="0.5"/>
  <pageSetup paperSize="9" orientation="landscape"/>
  <ignoredErrors>
    <ignoredError sqref="A19:U22 A1:U1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tổng hợp tài sản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tổng hợp tài sản</dc:title>
  <dc:subject>Bảng tổng hợp tài sản</dc:subject>
  <dc:creator>Bravo 8 4.6.5.1</dc:creator>
  <cp:keywords/>
  <dc:description/>
  <cp:lastModifiedBy>Nguyen Dang Thuy Vi (Alba)</cp:lastModifiedBy>
  <dcterms:modified xsi:type="dcterms:W3CDTF">2026-07-09T06:58:14Z</dcterms:modified>
  <cp:category/>
</cp:coreProperties>
</file>