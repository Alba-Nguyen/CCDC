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SPC/"/>
    </mc:Choice>
  </mc:AlternateContent>
  <xr:revisionPtr revIDLastSave="17" documentId="11_6C33FAE3847B888F9700F005C15EEC4C79115375" xr6:coauthVersionLast="47" xr6:coauthVersionMax="47" xr10:uidLastSave="{3BADEF1D-981A-48E5-9FD0-A7E870E5C03D}"/>
  <bookViews>
    <workbookView xWindow="-108" yWindow="-108" windowWidth="23256" windowHeight="12456" xr2:uid="{00000000-000D-0000-FFFF-FFFF00000000}"/>
  </bookViews>
  <sheets>
    <sheet name="Bảng tổng hợp tài sả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2" l="1"/>
  <c r="T33" i="2"/>
  <c r="S33" i="2"/>
  <c r="Q33" i="2"/>
  <c r="P33" i="2"/>
  <c r="O33" i="2"/>
  <c r="N33" i="2"/>
  <c r="M33" i="2"/>
  <c r="L33" i="2"/>
</calcChain>
</file>

<file path=xl/sharedStrings.xml><?xml version="1.0" encoding="utf-8"?>
<sst xmlns="http://schemas.openxmlformats.org/spreadsheetml/2006/main" count="200" uniqueCount="99">
  <si>
    <t>BẢNG TỔNG HỢP TÀI SẢN</t>
  </si>
  <si>
    <t>Sáu tháng đầu năm 2026</t>
  </si>
  <si>
    <t>Stt</t>
  </si>
  <si>
    <t>Mã số</t>
  </si>
  <si>
    <t>Tên tài sản</t>
  </si>
  <si>
    <t>Đvt</t>
  </si>
  <si>
    <t>Phòng ban/ bộ phận</t>
  </si>
  <si>
    <t>Division</t>
  </si>
  <si>
    <t>Tên Division</t>
  </si>
  <si>
    <t>Khoản mục</t>
  </si>
  <si>
    <t>Ngày
bắt đầu
khấu hao</t>
  </si>
  <si>
    <t>Số tháng khấu hao</t>
  </si>
  <si>
    <t>Số lượng</t>
  </si>
  <si>
    <t>Giá trị tài sản đầu kỳ</t>
  </si>
  <si>
    <t>Khấu hao trong kỳ</t>
  </si>
  <si>
    <t>Giá trị tài sản cuối kỳ</t>
  </si>
  <si>
    <t>Nguyên giá</t>
  </si>
  <si>
    <t>Hao mòn</t>
  </si>
  <si>
    <t>Giá trị còn lại</t>
  </si>
  <si>
    <t>FA.0001</t>
  </si>
  <si>
    <t>Máy tính xách tay Dell N4110 (1 cái)</t>
  </si>
  <si>
    <t>Cái</t>
  </si>
  <si>
    <t>SH-ADM</t>
  </si>
  <si>
    <t>Bộ Phận Hành Chính</t>
  </si>
  <si>
    <t>QL.04.142</t>
  </si>
  <si>
    <t>FA.0002</t>
  </si>
  <si>
    <t>Máy tính xách tay Toshiba L755-1004X (1 cái)</t>
  </si>
  <si>
    <t>FA.0003</t>
  </si>
  <si>
    <t>Máy tính xách tay Asus A43E VX067 Brown (1 cái)</t>
  </si>
  <si>
    <t>FA.0004</t>
  </si>
  <si>
    <t>Máy tính xách tay HP Elitebook 2530P (1 cái)</t>
  </si>
  <si>
    <t>FA.0005</t>
  </si>
  <si>
    <t>Máy tính xách tay HP G42-465 TX (1 cái)</t>
  </si>
  <si>
    <t>FA.0006</t>
  </si>
  <si>
    <t>Xe Honda JF240 Lead (bạc) (1 chiếc)</t>
  </si>
  <si>
    <t>FA.0007</t>
  </si>
  <si>
    <t>Máy lạnh Daikin (1 cái)</t>
  </si>
  <si>
    <t>FA.0008</t>
  </si>
  <si>
    <t>Máy tính xách tay Asus (1 cái)</t>
  </si>
  <si>
    <t>FA.0009</t>
  </si>
  <si>
    <t>FA.0010</t>
  </si>
  <si>
    <t>HDTS.1.0007</t>
  </si>
  <si>
    <t>Hệ thống thi công cải tạo sửa chữa kho chứa hàng</t>
  </si>
  <si>
    <t>hệ thống</t>
  </si>
  <si>
    <t>SCM</t>
  </si>
  <si>
    <t>HDTS.2.0002</t>
  </si>
  <si>
    <t>Xe nâng điện đứng lái Nichiyu đã qua sử dụng (1 chiếc)</t>
  </si>
  <si>
    <t>WARE</t>
  </si>
  <si>
    <t>Quản lý Kho</t>
  </si>
  <si>
    <t>HDTS.2.0008</t>
  </si>
  <si>
    <t>Máy phát điện xoay chiều 3 pha Cummins 150KVA</t>
  </si>
  <si>
    <t>HRM</t>
  </si>
  <si>
    <t>HDTS.3.0001</t>
  </si>
  <si>
    <t>Xe ô tô du lịch 5 chỗ KIA (đỏ) (1 chiếc)</t>
  </si>
  <si>
    <t>MGMT</t>
  </si>
  <si>
    <t>SH-BOD</t>
  </si>
  <si>
    <t>Ban Giám Đốc</t>
  </si>
  <si>
    <t>HDTS.3.0006</t>
  </si>
  <si>
    <t>Xe Honda JF791 Lead</t>
  </si>
  <si>
    <t>HDTS.3.0011</t>
  </si>
  <si>
    <t>Xe Toyota Avanza 7 chỗ, Màu trắng, dung tích xy lanh 1496 cm3</t>
  </si>
  <si>
    <t>HDTS.3.0012</t>
  </si>
  <si>
    <t>Xe nâng điện Toyota 2,5 tấn - Model 8FB25</t>
  </si>
  <si>
    <t>SH-LOS</t>
  </si>
  <si>
    <t>Bộ Phận Kho Vận</t>
  </si>
  <si>
    <t>HDTS.4.0003</t>
  </si>
  <si>
    <t>Hệ thống thiết bị mạng</t>
  </si>
  <si>
    <t>Bộ</t>
  </si>
  <si>
    <t>HDTS.4.0005</t>
  </si>
  <si>
    <t>Hệ thống thiết bị nội thất văn phòng</t>
  </si>
  <si>
    <t>HDTS.4.0009</t>
  </si>
  <si>
    <t>Cụm bàn làm việc</t>
  </si>
  <si>
    <t>HDTS.4.0010</t>
  </si>
  <si>
    <t>Kệ bếp 4.0m</t>
  </si>
  <si>
    <t>HDTS.4.0011</t>
  </si>
  <si>
    <t>Máy tính xách tay Apple Macbook Pro,M3 8core</t>
  </si>
  <si>
    <t>Chiếc</t>
  </si>
  <si>
    <t>BGD</t>
  </si>
  <si>
    <t>HDTS.5.0004</t>
  </si>
  <si>
    <t>Phần mềm Bravo</t>
  </si>
  <si>
    <t>C/trl</t>
  </si>
  <si>
    <t>BPK</t>
  </si>
  <si>
    <t>SH-BPK</t>
  </si>
  <si>
    <t>Bộ phận khác</t>
  </si>
  <si>
    <t>HDTS.5.0005</t>
  </si>
  <si>
    <t>Phần mềm Bravo 8R2</t>
  </si>
  <si>
    <t>Bản</t>
  </si>
  <si>
    <t>HDTS.5.0006</t>
  </si>
  <si>
    <t>Hệ thống lọc nước sinh hoạt Hilarix</t>
  </si>
  <si>
    <t>HDTS.5.0007</t>
  </si>
  <si>
    <t>Xe Mercedes màu đen, biển số xe 51M889.70</t>
  </si>
  <si>
    <t>ADM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</si>
  <si>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</si>
  <si>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</si>
  <si>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</si>
  <si>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</si>
  <si>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</si>
  <si>
    <t>BCĐPS</t>
  </si>
  <si>
    <t>Chênh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</si>
</sst>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6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DF5E6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3" fontId="2" fillId="4" borderId="9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164" fontId="3" fillId="2" borderId="8" xfId="0" applyNumberFormat="1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3" fontId="2" fillId="4" borderId="9" xfId="0" applyNumberFormat="1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center" vertical="top"/>
    </xf>
    <xf numFmtId="3" fontId="3" fillId="2" borderId="12" xfId="0" applyNumberFormat="1" applyFont="1" applyFill="1" applyBorder="1" applyAlignment="1">
      <alignment horizontal="right" vertical="top"/>
    </xf>
    <xf numFmtId="3" fontId="2" fillId="4" borderId="1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left" vertical="top" wrapText="1"/>
    </xf>
    <xf numFmtId="3" fontId="2" fillId="4" borderId="0" xfId="0" applyNumberFormat="1" applyFont="1" applyFill="1" applyBorder="1" applyAlignment="1">
      <alignment horizontal="right" vertical="top"/>
    </xf>
    <xf numFmtId="3" fontId="2" fillId="5" borderId="0" xfId="0" applyNumberFormat="1" applyFont="1" applyFill="1" applyBorder="1" applyAlignment="1">
      <alignment horizontal="right" vertical="top"/>
    </xf>
    <xf numFmtId="3" fontId="2" fillId="4" borderId="14" xfId="0" applyNumberFormat="1" applyFont="1" applyFill="1" applyBorder="1" applyAlignment="1">
      <alignment horizontal="right" vertical="top"/>
    </xf>
    <xf numFmtId="1" fontId="2" fillId="4" borderId="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TNHH MỘT THÀNH VIÊN HÓA DƯỢC SÀI GÒN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173 Nguyễn Đình Chính, Phường Phú Nhuận, TP.HCM,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0310510716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8"/>
  <sheetViews>
    <sheetView showGridLines="0" showZeros="0" tabSelected="1" topLeftCell="B1" zoomScale="85" zoomScaleNormal="85" workbookViewId="0">
      <pane ySplit="6" topLeftCell="A27" activePane="bottomLeft" state="frozen"/>
      <selection pane="bottomLeft" activeCell="M41" sqref="M41"/>
    </sheetView>
  </sheetViews>
  <sheetFormatPr defaultRowHeight="14.4" x14ac:dyDescent="0.3"/>
  <cols>
    <col min="1" max="1" width="5"/>
    <col min="2" max="2" width="12.44140625"/>
    <col min="3" max="3" width="24.21875"/>
    <col min="4" max="4" width="13.6640625"/>
    <col min="5" max="5" width="7.77734375"/>
    <col min="6" max="6" width="9.44140625"/>
    <col min="7" max="7" width="12.44140625"/>
    <col min="8" max="9" width="19.44140625"/>
    <col min="10" max="10" width="10.6640625"/>
    <col min="11" max="11" width="10.88671875"/>
    <col min="12" max="12" width="7"/>
    <col min="13" max="14" width="14.6640625"/>
    <col min="15" max="15" width="13.88671875"/>
    <col min="16" max="16" width="13.44140625"/>
    <col min="17" max="17" width="2.77734375"/>
    <col min="18" max="18" width="11.88671875"/>
    <col min="19" max="19" width="14.6640625"/>
    <col min="20" max="20" width="13.109375"/>
  </cols>
  <sheetData>
    <row r="1" spans="1:20" ht="52.2" customHeight="1" x14ac:dyDescent="0.3">
      <c r="A1" s="15"/>
    </row>
    <row r="2" spans="1:20" ht="19.2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6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7.2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8.600000000000001" customHeight="1" x14ac:dyDescent="0.3">
      <c r="A5" s="11" t="s">
        <v>2</v>
      </c>
      <c r="B5" s="9" t="s">
        <v>3</v>
      </c>
      <c r="C5" s="9" t="s">
        <v>4</v>
      </c>
      <c r="D5" s="9"/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/>
      <c r="O5" s="9"/>
      <c r="P5" s="9" t="s">
        <v>14</v>
      </c>
      <c r="Q5" s="9" t="s">
        <v>15</v>
      </c>
      <c r="R5" s="9"/>
      <c r="S5" s="9"/>
      <c r="T5" s="7"/>
    </row>
    <row r="6" spans="1:20" ht="18.600000000000001" customHeight="1" x14ac:dyDescent="0.3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6" t="s">
        <v>16</v>
      </c>
      <c r="N6" s="16" t="s">
        <v>17</v>
      </c>
      <c r="O6" s="16" t="s">
        <v>18</v>
      </c>
      <c r="P6" s="8"/>
      <c r="Q6" s="8" t="s">
        <v>16</v>
      </c>
      <c r="R6" s="8"/>
      <c r="S6" s="16" t="s">
        <v>17</v>
      </c>
      <c r="T6" s="17" t="s">
        <v>18</v>
      </c>
    </row>
    <row r="7" spans="1:20" ht="16.2" customHeight="1" x14ac:dyDescent="0.3">
      <c r="A7" s="24">
        <v>1</v>
      </c>
      <c r="B7" s="18" t="s">
        <v>19</v>
      </c>
      <c r="C7" s="6" t="s">
        <v>20</v>
      </c>
      <c r="D7" s="6"/>
      <c r="E7" s="18" t="s">
        <v>21</v>
      </c>
      <c r="F7" s="18"/>
      <c r="G7" s="18" t="s">
        <v>22</v>
      </c>
      <c r="H7" s="18" t="s">
        <v>23</v>
      </c>
      <c r="I7" s="19" t="s">
        <v>24</v>
      </c>
      <c r="J7" s="20">
        <v>40786</v>
      </c>
      <c r="K7" s="21"/>
      <c r="L7" s="22"/>
      <c r="M7" s="22">
        <v>7388898</v>
      </c>
      <c r="N7" s="22">
        <v>7388898</v>
      </c>
      <c r="O7" s="22">
        <v>0</v>
      </c>
      <c r="P7" s="22">
        <v>0</v>
      </c>
      <c r="Q7" s="5">
        <v>7388898</v>
      </c>
      <c r="R7" s="5"/>
      <c r="S7" s="22">
        <v>7388898</v>
      </c>
      <c r="T7" s="25">
        <v>0</v>
      </c>
    </row>
    <row r="8" spans="1:20" ht="16.2" customHeight="1" x14ac:dyDescent="0.3">
      <c r="A8" s="24">
        <v>2</v>
      </c>
      <c r="B8" s="18" t="s">
        <v>25</v>
      </c>
      <c r="C8" s="6" t="s">
        <v>26</v>
      </c>
      <c r="D8" s="6"/>
      <c r="E8" s="18" t="s">
        <v>21</v>
      </c>
      <c r="F8" s="18"/>
      <c r="G8" s="18" t="s">
        <v>22</v>
      </c>
      <c r="H8" s="18" t="s">
        <v>23</v>
      </c>
      <c r="I8" s="19" t="s">
        <v>24</v>
      </c>
      <c r="J8" s="20">
        <v>40786</v>
      </c>
      <c r="K8" s="21"/>
      <c r="L8" s="22"/>
      <c r="M8" s="22">
        <v>8277786</v>
      </c>
      <c r="N8" s="22">
        <v>8277786</v>
      </c>
      <c r="O8" s="22">
        <v>0</v>
      </c>
      <c r="P8" s="22">
        <v>0</v>
      </c>
      <c r="Q8" s="5">
        <v>8277786</v>
      </c>
      <c r="R8" s="5"/>
      <c r="S8" s="22">
        <v>8277786</v>
      </c>
      <c r="T8" s="25">
        <v>0</v>
      </c>
    </row>
    <row r="9" spans="1:20" ht="25.8" customHeight="1" x14ac:dyDescent="0.3">
      <c r="A9" s="24">
        <v>3</v>
      </c>
      <c r="B9" s="18" t="s">
        <v>27</v>
      </c>
      <c r="C9" s="6" t="s">
        <v>28</v>
      </c>
      <c r="D9" s="6"/>
      <c r="E9" s="18" t="s">
        <v>21</v>
      </c>
      <c r="F9" s="18"/>
      <c r="G9" s="18" t="s">
        <v>22</v>
      </c>
      <c r="H9" s="18" t="s">
        <v>23</v>
      </c>
      <c r="I9" s="19" t="s">
        <v>24</v>
      </c>
      <c r="J9" s="20">
        <v>40816</v>
      </c>
      <c r="K9" s="21"/>
      <c r="L9" s="22"/>
      <c r="M9" s="22">
        <v>6363346</v>
      </c>
      <c r="N9" s="22">
        <v>6363346</v>
      </c>
      <c r="O9" s="22">
        <v>0</v>
      </c>
      <c r="P9" s="22">
        <v>0</v>
      </c>
      <c r="Q9" s="5">
        <v>6363346</v>
      </c>
      <c r="R9" s="5"/>
      <c r="S9" s="22">
        <v>6363346</v>
      </c>
      <c r="T9" s="25">
        <v>0</v>
      </c>
    </row>
    <row r="10" spans="1:20" ht="16.2" customHeight="1" x14ac:dyDescent="0.3">
      <c r="A10" s="24">
        <v>4</v>
      </c>
      <c r="B10" s="18" t="s">
        <v>29</v>
      </c>
      <c r="C10" s="6" t="s">
        <v>30</v>
      </c>
      <c r="D10" s="6"/>
      <c r="E10" s="18" t="s">
        <v>21</v>
      </c>
      <c r="F10" s="18"/>
      <c r="G10" s="18" t="s">
        <v>22</v>
      </c>
      <c r="H10" s="18" t="s">
        <v>23</v>
      </c>
      <c r="I10" s="19" t="s">
        <v>24</v>
      </c>
      <c r="J10" s="20">
        <v>40816</v>
      </c>
      <c r="K10" s="21"/>
      <c r="L10" s="22"/>
      <c r="M10" s="22">
        <v>6222238</v>
      </c>
      <c r="N10" s="22">
        <v>6222238</v>
      </c>
      <c r="O10" s="22">
        <v>0</v>
      </c>
      <c r="P10" s="22">
        <v>0</v>
      </c>
      <c r="Q10" s="5">
        <v>6222238</v>
      </c>
      <c r="R10" s="5"/>
      <c r="S10" s="22">
        <v>6222238</v>
      </c>
      <c r="T10" s="25">
        <v>0</v>
      </c>
    </row>
    <row r="11" spans="1:20" ht="16.2" customHeight="1" x14ac:dyDescent="0.3">
      <c r="A11" s="24">
        <v>5</v>
      </c>
      <c r="B11" s="18" t="s">
        <v>31</v>
      </c>
      <c r="C11" s="6" t="s">
        <v>32</v>
      </c>
      <c r="D11" s="6"/>
      <c r="E11" s="18" t="s">
        <v>21</v>
      </c>
      <c r="F11" s="18"/>
      <c r="G11" s="18" t="s">
        <v>22</v>
      </c>
      <c r="H11" s="18" t="s">
        <v>23</v>
      </c>
      <c r="I11" s="19" t="s">
        <v>24</v>
      </c>
      <c r="J11" s="20">
        <v>40816</v>
      </c>
      <c r="K11" s="21"/>
      <c r="L11" s="22"/>
      <c r="M11" s="22">
        <v>7055576</v>
      </c>
      <c r="N11" s="22">
        <v>7055576</v>
      </c>
      <c r="O11" s="22">
        <v>0</v>
      </c>
      <c r="P11" s="22">
        <v>0</v>
      </c>
      <c r="Q11" s="5">
        <v>7055576</v>
      </c>
      <c r="R11" s="5"/>
      <c r="S11" s="22">
        <v>7055576</v>
      </c>
      <c r="T11" s="25">
        <v>0</v>
      </c>
    </row>
    <row r="12" spans="1:20" ht="16.2" customHeight="1" x14ac:dyDescent="0.3">
      <c r="A12" s="24">
        <v>6</v>
      </c>
      <c r="B12" s="18" t="s">
        <v>33</v>
      </c>
      <c r="C12" s="6" t="s">
        <v>34</v>
      </c>
      <c r="D12" s="6"/>
      <c r="E12" s="18" t="s">
        <v>21</v>
      </c>
      <c r="F12" s="18"/>
      <c r="G12" s="18" t="s">
        <v>22</v>
      </c>
      <c r="H12" s="18" t="s">
        <v>23</v>
      </c>
      <c r="I12" s="19" t="s">
        <v>24</v>
      </c>
      <c r="J12" s="20">
        <v>40816</v>
      </c>
      <c r="K12" s="21"/>
      <c r="L12" s="22"/>
      <c r="M12" s="22">
        <v>30818182</v>
      </c>
      <c r="N12" s="22">
        <v>30818182</v>
      </c>
      <c r="O12" s="22">
        <v>0</v>
      </c>
      <c r="P12" s="22">
        <v>0</v>
      </c>
      <c r="Q12" s="5">
        <v>30818182</v>
      </c>
      <c r="R12" s="5"/>
      <c r="S12" s="22">
        <v>30818182</v>
      </c>
      <c r="T12" s="25">
        <v>0</v>
      </c>
    </row>
    <row r="13" spans="1:20" ht="16.2" customHeight="1" x14ac:dyDescent="0.3">
      <c r="A13" s="24">
        <v>7</v>
      </c>
      <c r="B13" s="18" t="s">
        <v>35</v>
      </c>
      <c r="C13" s="6" t="s">
        <v>36</v>
      </c>
      <c r="D13" s="6"/>
      <c r="E13" s="18" t="s">
        <v>21</v>
      </c>
      <c r="F13" s="18"/>
      <c r="G13" s="18" t="s">
        <v>22</v>
      </c>
      <c r="H13" s="18" t="s">
        <v>23</v>
      </c>
      <c r="I13" s="19" t="s">
        <v>24</v>
      </c>
      <c r="J13" s="20">
        <v>41394</v>
      </c>
      <c r="K13" s="21"/>
      <c r="L13" s="22"/>
      <c r="M13" s="22">
        <v>909018</v>
      </c>
      <c r="N13" s="22">
        <v>909018</v>
      </c>
      <c r="O13" s="22">
        <v>0</v>
      </c>
      <c r="P13" s="22">
        <v>0</v>
      </c>
      <c r="Q13" s="5">
        <v>909018</v>
      </c>
      <c r="R13" s="5"/>
      <c r="S13" s="22">
        <v>909018</v>
      </c>
      <c r="T13" s="25">
        <v>0</v>
      </c>
    </row>
    <row r="14" spans="1:20" ht="16.2" customHeight="1" x14ac:dyDescent="0.3">
      <c r="A14" s="24">
        <v>8</v>
      </c>
      <c r="B14" s="18" t="s">
        <v>37</v>
      </c>
      <c r="C14" s="6" t="s">
        <v>38</v>
      </c>
      <c r="D14" s="6"/>
      <c r="E14" s="18" t="s">
        <v>21</v>
      </c>
      <c r="F14" s="18"/>
      <c r="G14" s="18" t="s">
        <v>22</v>
      </c>
      <c r="H14" s="18" t="s">
        <v>23</v>
      </c>
      <c r="I14" s="19" t="s">
        <v>24</v>
      </c>
      <c r="J14" s="20">
        <v>41455</v>
      </c>
      <c r="K14" s="21"/>
      <c r="L14" s="22"/>
      <c r="M14" s="22">
        <v>373485</v>
      </c>
      <c r="N14" s="22">
        <v>373485</v>
      </c>
      <c r="O14" s="22">
        <v>0</v>
      </c>
      <c r="P14" s="22">
        <v>0</v>
      </c>
      <c r="Q14" s="5">
        <v>373485</v>
      </c>
      <c r="R14" s="5"/>
      <c r="S14" s="22">
        <v>373485</v>
      </c>
      <c r="T14" s="25">
        <v>0</v>
      </c>
    </row>
    <row r="15" spans="1:20" ht="16.2" customHeight="1" x14ac:dyDescent="0.3">
      <c r="A15" s="24">
        <v>9</v>
      </c>
      <c r="B15" s="18" t="s">
        <v>39</v>
      </c>
      <c r="C15" s="6" t="s">
        <v>38</v>
      </c>
      <c r="D15" s="6"/>
      <c r="E15" s="18" t="s">
        <v>21</v>
      </c>
      <c r="F15" s="18"/>
      <c r="G15" s="18" t="s">
        <v>22</v>
      </c>
      <c r="H15" s="18" t="s">
        <v>23</v>
      </c>
      <c r="I15" s="19" t="s">
        <v>24</v>
      </c>
      <c r="J15" s="20">
        <v>41455</v>
      </c>
      <c r="K15" s="21"/>
      <c r="L15" s="22"/>
      <c r="M15" s="22">
        <v>373485</v>
      </c>
      <c r="N15" s="22">
        <v>373485</v>
      </c>
      <c r="O15" s="22">
        <v>0</v>
      </c>
      <c r="P15" s="22">
        <v>0</v>
      </c>
      <c r="Q15" s="5">
        <v>373485</v>
      </c>
      <c r="R15" s="5"/>
      <c r="S15" s="22">
        <v>373485</v>
      </c>
      <c r="T15" s="25">
        <v>0</v>
      </c>
    </row>
    <row r="16" spans="1:20" ht="16.2" customHeight="1" x14ac:dyDescent="0.3">
      <c r="A16" s="24">
        <v>10</v>
      </c>
      <c r="B16" s="18" t="s">
        <v>40</v>
      </c>
      <c r="C16" s="6" t="s">
        <v>38</v>
      </c>
      <c r="D16" s="6"/>
      <c r="E16" s="18" t="s">
        <v>21</v>
      </c>
      <c r="F16" s="18"/>
      <c r="G16" s="18" t="s">
        <v>22</v>
      </c>
      <c r="H16" s="18" t="s">
        <v>23</v>
      </c>
      <c r="I16" s="19" t="s">
        <v>24</v>
      </c>
      <c r="J16" s="20">
        <v>41455</v>
      </c>
      <c r="K16" s="21"/>
      <c r="L16" s="22"/>
      <c r="M16" s="22">
        <v>324495</v>
      </c>
      <c r="N16" s="22">
        <v>324495</v>
      </c>
      <c r="O16" s="22">
        <v>0</v>
      </c>
      <c r="P16" s="22">
        <v>0</v>
      </c>
      <c r="Q16" s="5">
        <v>324495</v>
      </c>
      <c r="R16" s="5"/>
      <c r="S16" s="22">
        <v>324495</v>
      </c>
      <c r="T16" s="25">
        <v>0</v>
      </c>
    </row>
    <row r="17" spans="1:20" ht="25.8" customHeight="1" x14ac:dyDescent="0.3">
      <c r="A17" s="24">
        <v>11</v>
      </c>
      <c r="B17" s="18" t="s">
        <v>41</v>
      </c>
      <c r="C17" s="6" t="s">
        <v>42</v>
      </c>
      <c r="D17" s="6"/>
      <c r="E17" s="18" t="s">
        <v>43</v>
      </c>
      <c r="F17" s="18" t="s">
        <v>44</v>
      </c>
      <c r="G17" s="18" t="s">
        <v>22</v>
      </c>
      <c r="H17" s="18" t="s">
        <v>23</v>
      </c>
      <c r="I17" s="19" t="s">
        <v>24</v>
      </c>
      <c r="J17" s="20">
        <v>43526</v>
      </c>
      <c r="K17" s="21">
        <v>60</v>
      </c>
      <c r="L17" s="22">
        <v>1</v>
      </c>
      <c r="M17" s="22">
        <v>210360000</v>
      </c>
      <c r="N17" s="22">
        <v>210360000</v>
      </c>
      <c r="O17" s="22">
        <v>0</v>
      </c>
      <c r="P17" s="22">
        <v>0</v>
      </c>
      <c r="Q17" s="5">
        <v>210360000</v>
      </c>
      <c r="R17" s="5"/>
      <c r="S17" s="22">
        <v>210360000</v>
      </c>
      <c r="T17" s="25">
        <v>0</v>
      </c>
    </row>
    <row r="18" spans="1:20" ht="25.8" customHeight="1" x14ac:dyDescent="0.3">
      <c r="A18" s="24">
        <v>12</v>
      </c>
      <c r="B18" s="18" t="s">
        <v>45</v>
      </c>
      <c r="C18" s="6" t="s">
        <v>46</v>
      </c>
      <c r="D18" s="6"/>
      <c r="E18" s="18" t="s">
        <v>21</v>
      </c>
      <c r="F18" s="18" t="s">
        <v>44</v>
      </c>
      <c r="G18" s="18" t="s">
        <v>47</v>
      </c>
      <c r="H18" s="18" t="s">
        <v>48</v>
      </c>
      <c r="I18" s="19" t="s">
        <v>24</v>
      </c>
      <c r="J18" s="20">
        <v>41425</v>
      </c>
      <c r="K18" s="21">
        <v>72</v>
      </c>
      <c r="L18" s="22">
        <v>1</v>
      </c>
      <c r="M18" s="22">
        <v>75000000</v>
      </c>
      <c r="N18" s="22">
        <v>75000000</v>
      </c>
      <c r="O18" s="22">
        <v>0</v>
      </c>
      <c r="P18" s="22">
        <v>0</v>
      </c>
      <c r="Q18" s="5">
        <v>75000000</v>
      </c>
      <c r="R18" s="5"/>
      <c r="S18" s="22">
        <v>75000000</v>
      </c>
      <c r="T18" s="25">
        <v>0</v>
      </c>
    </row>
    <row r="19" spans="1:20" ht="25.8" customHeight="1" x14ac:dyDescent="0.3">
      <c r="A19" s="24">
        <v>13</v>
      </c>
      <c r="B19" s="18" t="s">
        <v>49</v>
      </c>
      <c r="C19" s="6" t="s">
        <v>50</v>
      </c>
      <c r="D19" s="6"/>
      <c r="E19" s="18" t="s">
        <v>21</v>
      </c>
      <c r="F19" s="18" t="s">
        <v>51</v>
      </c>
      <c r="G19" s="18" t="s">
        <v>22</v>
      </c>
      <c r="H19" s="18" t="s">
        <v>23</v>
      </c>
      <c r="I19" s="19" t="s">
        <v>24</v>
      </c>
      <c r="J19" s="20">
        <v>44040</v>
      </c>
      <c r="K19" s="21">
        <v>84</v>
      </c>
      <c r="L19" s="22">
        <v>1</v>
      </c>
      <c r="M19" s="22">
        <v>304770000</v>
      </c>
      <c r="N19" s="22">
        <v>236302067</v>
      </c>
      <c r="O19" s="22">
        <v>68467933</v>
      </c>
      <c r="P19" s="22">
        <v>21769284</v>
      </c>
      <c r="Q19" s="5">
        <v>304770000</v>
      </c>
      <c r="R19" s="5"/>
      <c r="S19" s="22">
        <v>258071351</v>
      </c>
      <c r="T19" s="25">
        <v>46698649</v>
      </c>
    </row>
    <row r="20" spans="1:20" ht="16.2" customHeight="1" x14ac:dyDescent="0.3">
      <c r="A20" s="24">
        <v>14</v>
      </c>
      <c r="B20" s="18" t="s">
        <v>52</v>
      </c>
      <c r="C20" s="6" t="s">
        <v>53</v>
      </c>
      <c r="D20" s="6"/>
      <c r="E20" s="18" t="s">
        <v>21</v>
      </c>
      <c r="F20" s="18" t="s">
        <v>54</v>
      </c>
      <c r="G20" s="18" t="s">
        <v>55</v>
      </c>
      <c r="H20" s="18" t="s">
        <v>56</v>
      </c>
      <c r="I20" s="19" t="s">
        <v>24</v>
      </c>
      <c r="J20" s="20">
        <v>41425</v>
      </c>
      <c r="K20" s="21">
        <v>72</v>
      </c>
      <c r="L20" s="22">
        <v>1</v>
      </c>
      <c r="M20" s="22">
        <v>471758791</v>
      </c>
      <c r="N20" s="22">
        <v>471758791</v>
      </c>
      <c r="O20" s="22">
        <v>0</v>
      </c>
      <c r="P20" s="22">
        <v>0</v>
      </c>
      <c r="Q20" s="5">
        <v>471758791</v>
      </c>
      <c r="R20" s="5"/>
      <c r="S20" s="22">
        <v>471758791</v>
      </c>
      <c r="T20" s="25">
        <v>0</v>
      </c>
    </row>
    <row r="21" spans="1:20" ht="16.2" customHeight="1" x14ac:dyDescent="0.3">
      <c r="A21" s="24">
        <v>15</v>
      </c>
      <c r="B21" s="18" t="s">
        <v>57</v>
      </c>
      <c r="C21" s="6" t="s">
        <v>58</v>
      </c>
      <c r="D21" s="6"/>
      <c r="E21" s="18" t="s">
        <v>21</v>
      </c>
      <c r="F21" s="18" t="s">
        <v>54</v>
      </c>
      <c r="G21" s="18" t="s">
        <v>55</v>
      </c>
      <c r="H21" s="18" t="s">
        <v>56</v>
      </c>
      <c r="I21" s="19" t="s">
        <v>24</v>
      </c>
      <c r="J21" s="20">
        <v>43375</v>
      </c>
      <c r="K21" s="21">
        <v>60</v>
      </c>
      <c r="L21" s="22">
        <v>0</v>
      </c>
      <c r="M21" s="22">
        <v>39192273</v>
      </c>
      <c r="N21" s="22">
        <v>39192273</v>
      </c>
      <c r="O21" s="22">
        <v>0</v>
      </c>
      <c r="P21" s="22">
        <v>0</v>
      </c>
      <c r="Q21" s="5">
        <v>39192273</v>
      </c>
      <c r="R21" s="5"/>
      <c r="S21" s="22">
        <v>39192273</v>
      </c>
      <c r="T21" s="25">
        <v>0</v>
      </c>
    </row>
    <row r="22" spans="1:20" ht="25.8" customHeight="1" x14ac:dyDescent="0.3">
      <c r="A22" s="24">
        <v>16</v>
      </c>
      <c r="B22" s="18" t="s">
        <v>59</v>
      </c>
      <c r="C22" s="6" t="s">
        <v>60</v>
      </c>
      <c r="D22" s="6"/>
      <c r="E22" s="18" t="s">
        <v>21</v>
      </c>
      <c r="F22" s="18" t="s">
        <v>51</v>
      </c>
      <c r="G22" s="18" t="s">
        <v>22</v>
      </c>
      <c r="H22" s="18" t="s">
        <v>23</v>
      </c>
      <c r="I22" s="19" t="s">
        <v>24</v>
      </c>
      <c r="J22" s="20">
        <v>44653</v>
      </c>
      <c r="K22" s="21">
        <v>72</v>
      </c>
      <c r="L22" s="22">
        <v>1</v>
      </c>
      <c r="M22" s="22">
        <v>615773637</v>
      </c>
      <c r="N22" s="22">
        <v>376422514</v>
      </c>
      <c r="O22" s="22">
        <v>239351123</v>
      </c>
      <c r="P22" s="22">
        <v>52012788</v>
      </c>
      <c r="Q22" s="5">
        <v>615773637</v>
      </c>
      <c r="R22" s="5"/>
      <c r="S22" s="22">
        <v>428435302</v>
      </c>
      <c r="T22" s="25">
        <v>187338335</v>
      </c>
    </row>
    <row r="23" spans="1:20" ht="16.2" customHeight="1" x14ac:dyDescent="0.3">
      <c r="A23" s="24">
        <v>17</v>
      </c>
      <c r="B23" s="18" t="s">
        <v>61</v>
      </c>
      <c r="C23" s="6" t="s">
        <v>62</v>
      </c>
      <c r="D23" s="6"/>
      <c r="E23" s="18" t="s">
        <v>21</v>
      </c>
      <c r="F23" s="18" t="s">
        <v>44</v>
      </c>
      <c r="G23" s="18" t="s">
        <v>63</v>
      </c>
      <c r="H23" s="18" t="s">
        <v>64</v>
      </c>
      <c r="I23" s="19" t="s">
        <v>24</v>
      </c>
      <c r="J23" s="20">
        <v>45183</v>
      </c>
      <c r="K23" s="21">
        <v>60</v>
      </c>
      <c r="L23" s="22">
        <v>1</v>
      </c>
      <c r="M23" s="22">
        <v>240000000</v>
      </c>
      <c r="N23" s="22">
        <v>110266667</v>
      </c>
      <c r="O23" s="22">
        <v>129733333</v>
      </c>
      <c r="P23" s="22">
        <v>24000000</v>
      </c>
      <c r="Q23" s="5">
        <v>240000000</v>
      </c>
      <c r="R23" s="5"/>
      <c r="S23" s="22">
        <v>134266667</v>
      </c>
      <c r="T23" s="25">
        <v>105733333</v>
      </c>
    </row>
    <row r="24" spans="1:20" ht="16.2" customHeight="1" x14ac:dyDescent="0.3">
      <c r="A24" s="24">
        <v>18</v>
      </c>
      <c r="B24" s="18" t="s">
        <v>65</v>
      </c>
      <c r="C24" s="6" t="s">
        <v>66</v>
      </c>
      <c r="D24" s="6"/>
      <c r="E24" s="18" t="s">
        <v>67</v>
      </c>
      <c r="F24" s="18" t="s">
        <v>51</v>
      </c>
      <c r="G24" s="18" t="s">
        <v>22</v>
      </c>
      <c r="H24" s="18" t="s">
        <v>23</v>
      </c>
      <c r="I24" s="19" t="s">
        <v>24</v>
      </c>
      <c r="J24" s="20">
        <v>42491</v>
      </c>
      <c r="K24" s="21">
        <v>48</v>
      </c>
      <c r="L24" s="22">
        <v>1</v>
      </c>
      <c r="M24" s="22">
        <v>72514000</v>
      </c>
      <c r="N24" s="22">
        <v>72514000</v>
      </c>
      <c r="O24" s="22">
        <v>0</v>
      </c>
      <c r="P24" s="22">
        <v>0</v>
      </c>
      <c r="Q24" s="5">
        <v>72514000</v>
      </c>
      <c r="R24" s="5"/>
      <c r="S24" s="22">
        <v>72514000</v>
      </c>
      <c r="T24" s="25">
        <v>0</v>
      </c>
    </row>
    <row r="25" spans="1:20" ht="16.2" customHeight="1" x14ac:dyDescent="0.3">
      <c r="A25" s="24">
        <v>19</v>
      </c>
      <c r="B25" s="18" t="s">
        <v>68</v>
      </c>
      <c r="C25" s="6" t="s">
        <v>69</v>
      </c>
      <c r="D25" s="6"/>
      <c r="E25" s="18" t="s">
        <v>67</v>
      </c>
      <c r="F25" s="18"/>
      <c r="G25" s="18" t="s">
        <v>22</v>
      </c>
      <c r="H25" s="18" t="s">
        <v>23</v>
      </c>
      <c r="I25" s="19" t="s">
        <v>24</v>
      </c>
      <c r="J25" s="20">
        <v>42928</v>
      </c>
      <c r="K25" s="21">
        <v>60</v>
      </c>
      <c r="L25" s="22">
        <v>1</v>
      </c>
      <c r="M25" s="22">
        <v>151070000</v>
      </c>
      <c r="N25" s="22">
        <v>151070000</v>
      </c>
      <c r="O25" s="22">
        <v>0</v>
      </c>
      <c r="P25" s="22">
        <v>0</v>
      </c>
      <c r="Q25" s="5">
        <v>151070000</v>
      </c>
      <c r="R25" s="5"/>
      <c r="S25" s="22">
        <v>151070000</v>
      </c>
      <c r="T25" s="25">
        <v>0</v>
      </c>
    </row>
    <row r="26" spans="1:20" ht="16.2" customHeight="1" x14ac:dyDescent="0.3">
      <c r="A26" s="24">
        <v>20</v>
      </c>
      <c r="B26" s="18" t="s">
        <v>70</v>
      </c>
      <c r="C26" s="6" t="s">
        <v>71</v>
      </c>
      <c r="D26" s="6"/>
      <c r="E26" s="18" t="s">
        <v>67</v>
      </c>
      <c r="F26" s="18" t="s">
        <v>51</v>
      </c>
      <c r="G26" s="18" t="s">
        <v>22</v>
      </c>
      <c r="H26" s="18" t="s">
        <v>23</v>
      </c>
      <c r="I26" s="19" t="s">
        <v>24</v>
      </c>
      <c r="J26" s="20">
        <v>44083</v>
      </c>
      <c r="K26" s="21">
        <v>60</v>
      </c>
      <c r="L26" s="22">
        <v>1</v>
      </c>
      <c r="M26" s="22">
        <v>68191000</v>
      </c>
      <c r="N26" s="22">
        <v>68191000</v>
      </c>
      <c r="O26" s="22">
        <v>0</v>
      </c>
      <c r="P26" s="22">
        <v>0</v>
      </c>
      <c r="Q26" s="5">
        <v>68191000</v>
      </c>
      <c r="R26" s="5"/>
      <c r="S26" s="22">
        <v>68191000</v>
      </c>
      <c r="T26" s="25">
        <v>0</v>
      </c>
    </row>
    <row r="27" spans="1:20" ht="16.2" customHeight="1" x14ac:dyDescent="0.3">
      <c r="A27" s="24">
        <v>21</v>
      </c>
      <c r="B27" s="18" t="s">
        <v>72</v>
      </c>
      <c r="C27" s="6" t="s">
        <v>73</v>
      </c>
      <c r="D27" s="6"/>
      <c r="E27" s="18" t="s">
        <v>67</v>
      </c>
      <c r="F27" s="18" t="s">
        <v>51</v>
      </c>
      <c r="G27" s="18" t="s">
        <v>22</v>
      </c>
      <c r="H27" s="18" t="s">
        <v>23</v>
      </c>
      <c r="I27" s="19" t="s">
        <v>24</v>
      </c>
      <c r="J27" s="20">
        <v>44635</v>
      </c>
      <c r="K27" s="21">
        <v>36</v>
      </c>
      <c r="L27" s="22">
        <v>1</v>
      </c>
      <c r="M27" s="22">
        <v>30000000</v>
      </c>
      <c r="N27" s="22">
        <v>30000000</v>
      </c>
      <c r="O27" s="22">
        <v>0</v>
      </c>
      <c r="P27" s="22">
        <v>0</v>
      </c>
      <c r="Q27" s="5">
        <v>30000000</v>
      </c>
      <c r="R27" s="5"/>
      <c r="S27" s="22">
        <v>30000000</v>
      </c>
      <c r="T27" s="25">
        <v>0</v>
      </c>
    </row>
    <row r="28" spans="1:20" ht="16.2" customHeight="1" x14ac:dyDescent="0.3">
      <c r="A28" s="24">
        <v>22</v>
      </c>
      <c r="B28" s="18" t="s">
        <v>74</v>
      </c>
      <c r="C28" s="6" t="s">
        <v>75</v>
      </c>
      <c r="D28" s="6"/>
      <c r="E28" s="18" t="s">
        <v>76</v>
      </c>
      <c r="F28" s="18" t="s">
        <v>77</v>
      </c>
      <c r="G28" s="18" t="s">
        <v>55</v>
      </c>
      <c r="H28" s="18" t="s">
        <v>56</v>
      </c>
      <c r="I28" s="19" t="s">
        <v>24</v>
      </c>
      <c r="J28" s="20">
        <v>45541</v>
      </c>
      <c r="K28" s="21">
        <v>36</v>
      </c>
      <c r="L28" s="22">
        <v>1</v>
      </c>
      <c r="M28" s="22">
        <v>41790000</v>
      </c>
      <c r="N28" s="22">
        <v>18379856</v>
      </c>
      <c r="O28" s="22">
        <v>23410144</v>
      </c>
      <c r="P28" s="22">
        <v>6964998</v>
      </c>
      <c r="Q28" s="5">
        <v>41790000</v>
      </c>
      <c r="R28" s="5"/>
      <c r="S28" s="22">
        <v>25344854</v>
      </c>
      <c r="T28" s="25">
        <v>16445146</v>
      </c>
    </row>
    <row r="29" spans="1:20" ht="16.2" customHeight="1" x14ac:dyDescent="0.3">
      <c r="A29" s="24">
        <v>23</v>
      </c>
      <c r="B29" s="18" t="s">
        <v>78</v>
      </c>
      <c r="C29" s="6" t="s">
        <v>79</v>
      </c>
      <c r="D29" s="6"/>
      <c r="E29" s="18" t="s">
        <v>80</v>
      </c>
      <c r="F29" s="18" t="s">
        <v>81</v>
      </c>
      <c r="G29" s="18" t="s">
        <v>82</v>
      </c>
      <c r="H29" s="18" t="s">
        <v>83</v>
      </c>
      <c r="I29" s="19" t="s">
        <v>24</v>
      </c>
      <c r="J29" s="20">
        <v>42576</v>
      </c>
      <c r="K29" s="21">
        <v>60</v>
      </c>
      <c r="L29" s="22">
        <v>1</v>
      </c>
      <c r="M29" s="22">
        <v>120000000</v>
      </c>
      <c r="N29" s="22">
        <v>120000000</v>
      </c>
      <c r="O29" s="22">
        <v>0</v>
      </c>
      <c r="P29" s="22">
        <v>0</v>
      </c>
      <c r="Q29" s="5">
        <v>120000000</v>
      </c>
      <c r="R29" s="5"/>
      <c r="S29" s="22">
        <v>120000000</v>
      </c>
      <c r="T29" s="25">
        <v>0</v>
      </c>
    </row>
    <row r="30" spans="1:20" ht="16.2" customHeight="1" x14ac:dyDescent="0.3">
      <c r="A30" s="24">
        <v>24</v>
      </c>
      <c r="B30" s="18" t="s">
        <v>84</v>
      </c>
      <c r="C30" s="6" t="s">
        <v>85</v>
      </c>
      <c r="D30" s="6"/>
      <c r="E30" s="18" t="s">
        <v>86</v>
      </c>
      <c r="F30" s="18"/>
      <c r="G30" s="18" t="s">
        <v>55</v>
      </c>
      <c r="H30" s="18" t="s">
        <v>56</v>
      </c>
      <c r="I30" s="19" t="s">
        <v>24</v>
      </c>
      <c r="J30" s="20">
        <v>44744</v>
      </c>
      <c r="K30" s="21">
        <v>60</v>
      </c>
      <c r="L30" s="22">
        <v>1</v>
      </c>
      <c r="M30" s="22">
        <v>352580000</v>
      </c>
      <c r="N30" s="22">
        <v>246616427</v>
      </c>
      <c r="O30" s="22">
        <v>105963573</v>
      </c>
      <c r="P30" s="22">
        <v>35257998</v>
      </c>
      <c r="Q30" s="5">
        <v>352580000</v>
      </c>
      <c r="R30" s="5"/>
      <c r="S30" s="22">
        <v>281874425</v>
      </c>
      <c r="T30" s="25">
        <v>70705575</v>
      </c>
    </row>
    <row r="31" spans="1:20" ht="16.2" customHeight="1" x14ac:dyDescent="0.3">
      <c r="A31" s="24">
        <v>25</v>
      </c>
      <c r="B31" s="18" t="s">
        <v>87</v>
      </c>
      <c r="C31" s="6" t="s">
        <v>88</v>
      </c>
      <c r="D31" s="6"/>
      <c r="E31" s="18" t="s">
        <v>21</v>
      </c>
      <c r="F31" s="18" t="s">
        <v>77</v>
      </c>
      <c r="G31" s="18" t="s">
        <v>55</v>
      </c>
      <c r="H31" s="18" t="s">
        <v>56</v>
      </c>
      <c r="I31" s="19" t="s">
        <v>24</v>
      </c>
      <c r="J31" s="20">
        <v>45677</v>
      </c>
      <c r="K31" s="21">
        <v>60</v>
      </c>
      <c r="L31" s="22">
        <v>1</v>
      </c>
      <c r="M31" s="22">
        <v>30370370</v>
      </c>
      <c r="N31" s="22">
        <v>5763841</v>
      </c>
      <c r="O31" s="22">
        <v>24606529</v>
      </c>
      <c r="P31" s="22">
        <v>3037038</v>
      </c>
      <c r="Q31" s="5">
        <v>30370370</v>
      </c>
      <c r="R31" s="5"/>
      <c r="S31" s="22">
        <v>8800879</v>
      </c>
      <c r="T31" s="25">
        <v>21569491</v>
      </c>
    </row>
    <row r="32" spans="1:20" ht="16.2" customHeight="1" x14ac:dyDescent="0.3">
      <c r="A32" s="24">
        <v>26</v>
      </c>
      <c r="B32" s="18" t="s">
        <v>89</v>
      </c>
      <c r="C32" s="6" t="s">
        <v>90</v>
      </c>
      <c r="D32" s="6"/>
      <c r="E32" s="18" t="s">
        <v>21</v>
      </c>
      <c r="F32" s="18" t="s">
        <v>91</v>
      </c>
      <c r="G32" s="18" t="s">
        <v>22</v>
      </c>
      <c r="H32" s="18" t="s">
        <v>23</v>
      </c>
      <c r="I32" s="19" t="s">
        <v>24</v>
      </c>
      <c r="J32" s="20">
        <v>46052</v>
      </c>
      <c r="K32" s="21">
        <v>72</v>
      </c>
      <c r="L32" s="22">
        <v>1</v>
      </c>
      <c r="M32" s="22">
        <v>0</v>
      </c>
      <c r="N32" s="22">
        <v>0</v>
      </c>
      <c r="O32" s="22">
        <v>0</v>
      </c>
      <c r="P32" s="22">
        <v>192822366</v>
      </c>
      <c r="Q32" s="5">
        <v>2741270860</v>
      </c>
      <c r="R32" s="5"/>
      <c r="S32" s="22">
        <v>192822366</v>
      </c>
      <c r="T32" s="25">
        <v>2548448494</v>
      </c>
    </row>
    <row r="33" spans="1:20" ht="14.4" customHeight="1" x14ac:dyDescent="0.3">
      <c r="A33" s="4"/>
      <c r="B33" s="3"/>
      <c r="C33" s="2" t="s">
        <v>92</v>
      </c>
      <c r="D33" s="2"/>
      <c r="E33" s="2"/>
      <c r="F33" s="2"/>
      <c r="G33" s="2"/>
      <c r="H33" s="2"/>
      <c r="I33" s="2"/>
      <c r="J33" s="2"/>
      <c r="K33" s="2"/>
      <c r="L33" s="23">
        <f t="shared" ref="L33:Q33" si="0">SUBTOTAL(9,L7:L32)</f>
        <v>15</v>
      </c>
      <c r="M33" s="23">
        <f t="shared" si="0"/>
        <v>2891476580</v>
      </c>
      <c r="N33" s="23">
        <f t="shared" si="0"/>
        <v>2299943945</v>
      </c>
      <c r="O33" s="23">
        <f t="shared" si="0"/>
        <v>591532635</v>
      </c>
      <c r="P33" s="23">
        <f t="shared" si="0"/>
        <v>335864472</v>
      </c>
      <c r="Q33" s="1">
        <f t="shared" si="0"/>
        <v>5632747440</v>
      </c>
      <c r="R33" s="1"/>
      <c r="S33" s="35">
        <f>SUBTOTAL(9,S7:S32)</f>
        <v>2635808417</v>
      </c>
      <c r="T33" s="26">
        <f>SUBTOTAL(9,T7:T32)</f>
        <v>2996939023</v>
      </c>
    </row>
    <row r="34" spans="1:20" ht="14.4" customHeight="1" x14ac:dyDescent="0.3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  <c r="M34" s="33"/>
      <c r="N34" s="33"/>
      <c r="O34" s="33"/>
      <c r="P34" s="33"/>
      <c r="Q34" s="33"/>
      <c r="R34" s="33" t="s">
        <v>97</v>
      </c>
      <c r="S34" s="34">
        <v>2635808417</v>
      </c>
      <c r="T34" s="33"/>
    </row>
    <row r="35" spans="1:20" ht="14.4" customHeight="1" x14ac:dyDescent="0.3">
      <c r="A35" s="31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3"/>
      <c r="M35" s="33"/>
      <c r="N35" s="33"/>
      <c r="O35" s="33"/>
      <c r="P35" s="33"/>
      <c r="Q35" s="33"/>
      <c r="R35" s="33" t="s">
        <v>98</v>
      </c>
      <c r="S35" s="36">
        <f>S33-S34</f>
        <v>0</v>
      </c>
      <c r="T35" s="33"/>
    </row>
    <row r="36" spans="1:20" ht="19.8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 t="s">
        <v>93</v>
      </c>
      <c r="S36" s="28"/>
      <c r="T36" s="28"/>
    </row>
    <row r="37" spans="1:20" ht="13.8" customHeight="1" x14ac:dyDescent="0.3">
      <c r="A37" s="29" t="s">
        <v>94</v>
      </c>
      <c r="B37" s="29"/>
      <c r="C37" s="29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9" t="s">
        <v>95</v>
      </c>
      <c r="S37" s="29"/>
      <c r="T37" s="29"/>
    </row>
    <row r="38" spans="1:20" ht="21.6" customHeight="1" x14ac:dyDescent="0.3">
      <c r="A38" s="30" t="s">
        <v>96</v>
      </c>
      <c r="B38" s="30"/>
      <c r="C38" s="30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30" t="s">
        <v>96</v>
      </c>
      <c r="S38" s="30"/>
      <c r="T38" s="30"/>
    </row>
  </sheetData>
  <mergeCells count="82">
    <mergeCell ref="A37:C37"/>
    <mergeCell ref="D37:Q37"/>
    <mergeCell ref="R37:T37"/>
    <mergeCell ref="A38:C38"/>
    <mergeCell ref="D38:Q38"/>
    <mergeCell ref="R38:T38"/>
    <mergeCell ref="A33:B33"/>
    <mergeCell ref="C33:K33"/>
    <mergeCell ref="Q33:R33"/>
    <mergeCell ref="A36:C36"/>
    <mergeCell ref="D36:Q36"/>
    <mergeCell ref="R36:T36"/>
    <mergeCell ref="C30:D30"/>
    <mergeCell ref="Q30:R30"/>
    <mergeCell ref="C31:D31"/>
    <mergeCell ref="Q31:R31"/>
    <mergeCell ref="C32:D32"/>
    <mergeCell ref="Q32:R32"/>
    <mergeCell ref="C27:D27"/>
    <mergeCell ref="Q27:R27"/>
    <mergeCell ref="C28:D28"/>
    <mergeCell ref="Q28:R28"/>
    <mergeCell ref="C29:D29"/>
    <mergeCell ref="Q29:R29"/>
    <mergeCell ref="C24:D24"/>
    <mergeCell ref="Q24:R24"/>
    <mergeCell ref="C25:D25"/>
    <mergeCell ref="Q25:R25"/>
    <mergeCell ref="C26:D26"/>
    <mergeCell ref="Q26:R26"/>
    <mergeCell ref="C21:D21"/>
    <mergeCell ref="Q21:R21"/>
    <mergeCell ref="C22:D22"/>
    <mergeCell ref="Q22:R22"/>
    <mergeCell ref="C23:D23"/>
    <mergeCell ref="Q23:R23"/>
    <mergeCell ref="C18:D18"/>
    <mergeCell ref="Q18:R18"/>
    <mergeCell ref="C19:D19"/>
    <mergeCell ref="Q19:R19"/>
    <mergeCell ref="C20:D20"/>
    <mergeCell ref="Q20:R20"/>
    <mergeCell ref="C15:D15"/>
    <mergeCell ref="Q15:R15"/>
    <mergeCell ref="C16:D16"/>
    <mergeCell ref="Q16:R16"/>
    <mergeCell ref="C17:D17"/>
    <mergeCell ref="Q17:R17"/>
    <mergeCell ref="C12:D12"/>
    <mergeCell ref="Q12:R12"/>
    <mergeCell ref="C13:D13"/>
    <mergeCell ref="Q13:R13"/>
    <mergeCell ref="C14:D14"/>
    <mergeCell ref="Q14:R14"/>
    <mergeCell ref="C9:D9"/>
    <mergeCell ref="Q9:R9"/>
    <mergeCell ref="C10:D10"/>
    <mergeCell ref="Q10:R10"/>
    <mergeCell ref="C11:D11"/>
    <mergeCell ref="Q11:R11"/>
    <mergeCell ref="Q5:T5"/>
    <mergeCell ref="Q6:R6"/>
    <mergeCell ref="C7:D7"/>
    <mergeCell ref="Q7:R7"/>
    <mergeCell ref="C8:D8"/>
    <mergeCell ref="Q8:R8"/>
    <mergeCell ref="A2:T2"/>
    <mergeCell ref="A3:T3"/>
    <mergeCell ref="A4:T4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K6"/>
    <mergeCell ref="L5:L6"/>
    <mergeCell ref="M5:O5"/>
    <mergeCell ref="P5:P6"/>
  </mergeCells>
  <printOptions horizontalCentered="1"/>
  <pageMargins left="0" right="0" top="0.58999997377395597" bottom="0.58999997377395597" header="0.5" footer="0.5"/>
  <pageSetup paperSize="9" orientation="landscape"/>
  <ignoredErrors>
    <ignoredError sqref="A36:U39 A1:U3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tổng hợp tài sản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tổng hợp tài sản</dc:title>
  <dc:subject>Bảng tổng hợp tài sản</dc:subject>
  <dc:creator>Bravo 8 4.6.5.1</dc:creator>
  <cp:keywords/>
  <dc:description/>
  <cp:lastModifiedBy>Nguyen Dang Thuy Vi (Alba)</cp:lastModifiedBy>
  <dcterms:modified xsi:type="dcterms:W3CDTF">2026-07-09T06:54:54Z</dcterms:modified>
  <cp:category/>
</cp:coreProperties>
</file>