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mc:AlternateContent xmlns:mc="http://schemas.openxmlformats.org/markup-compatibility/2006">
    <mc:Choice Requires="x15">
      <x15ac:absPath xmlns:x15ac="http://schemas.microsoft.com/office/spreadsheetml/2010/11/ac" url="https://shinegroupvn-my.sharepoint.com/personal/alba_shine-group_com_vn/Documents/Desktop/Vi - Alba/Alba - CCDC/"/>
    </mc:Choice>
  </mc:AlternateContent>
  <xr:revisionPtr revIDLastSave="1" documentId="11_BF6454663E5574B6C05850F6207DED0A719E0175" xr6:coauthVersionLast="47" xr6:coauthVersionMax="47" xr10:uidLastSave="{6DADB7A7-8316-4985-B6E7-74DE11410024}"/>
  <bookViews>
    <workbookView xWindow="-108" yWindow="-108" windowWidth="23256" windowHeight="12456" xr2:uid="{00000000-000D-0000-FFFF-FFFF00000000}"/>
  </bookViews>
  <sheets>
    <sheet name="Bảng tổng hợp chi phí chờ phân " sheetId="2" r:id="rId1"/>
  </sheets>
  <definedNames>
    <definedName name="_xlnm._FilterDatabase" localSheetId="0" hidden="1">'Bảng tổng hợp chi phí chờ phân '!$A$5:$O$5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86" i="2" l="1"/>
  <c r="H86" i="2"/>
  <c r="G86" i="2"/>
  <c r="F86" i="2"/>
</calcChain>
</file>

<file path=xl/sharedStrings.xml><?xml version="1.0" encoding="utf-8"?>
<sst xmlns="http://schemas.openxmlformats.org/spreadsheetml/2006/main" count="501" uniqueCount="222">
  <si>
    <t>BẢNG TỔNG HỢP CHI PHÍ CHỜ PHÂN BỔ</t>
  </si>
  <si>
    <t>Tháng 01 năm 2026</t>
  </si>
  <si>
    <t>Mã</t>
  </si>
  <si>
    <t>Tên chi phí</t>
  </si>
  <si>
    <t>Số tháng phân bổ</t>
  </si>
  <si>
    <t>Ngày phân bổ</t>
  </si>
  <si>
    <t>Giá trị
phân bổ</t>
  </si>
  <si>
    <t>Giá trị phân bổ trong kỳ</t>
  </si>
  <si>
    <t>Giá trị
đã phân bổ</t>
  </si>
  <si>
    <t>Giá trị
còn lại</t>
  </si>
  <si>
    <t>TK Nợ</t>
  </si>
  <si>
    <t>Tk Có</t>
  </si>
  <si>
    <t>Ghi chú</t>
  </si>
  <si>
    <t>Mã bộ phận</t>
  </si>
  <si>
    <t>Tên bộ phận</t>
  </si>
  <si>
    <t>CP.00001</t>
  </si>
  <si>
    <t>Chi phí BH cháy nổ bắt buộc (2022-2023)</t>
  </si>
  <si>
    <t>6417</t>
  </si>
  <si>
    <t>2422</t>
  </si>
  <si>
    <t>CS01</t>
  </si>
  <si>
    <t>CS &amp; Supply Chain Asia Shine</t>
  </si>
  <si>
    <t>CP.00002</t>
  </si>
  <si>
    <t>Phần mềm Base theo Phụ lục 02 (Đính kèm hợp đồng 150721-01/975/HD-Base)</t>
  </si>
  <si>
    <t>6427</t>
  </si>
  <si>
    <t>HRM</t>
  </si>
  <si>
    <t>Bộ Phận Nhân Sự- Tuyển dụng</t>
  </si>
  <si>
    <t>CP.00003</t>
  </si>
  <si>
    <t>Chi phí bảo hiểm tai nạn và sức khỏe nhân viên 2022-2023</t>
  </si>
  <si>
    <t>6428</t>
  </si>
  <si>
    <t>CP.00004</t>
  </si>
  <si>
    <t>BH cháy nổ bắt buộc 2022-2023</t>
  </si>
  <si>
    <t>6418</t>
  </si>
  <si>
    <t>WHR</t>
  </si>
  <si>
    <t>Kho hàng</t>
  </si>
  <si>
    <t>CP.00005</t>
  </si>
  <si>
    <t>Phí bản quyền phần mềm Microsoft 365</t>
  </si>
  <si>
    <t>CP.00006</t>
  </si>
  <si>
    <t>Chi phí cải tạo máy dập viên KUKUSUI</t>
  </si>
  <si>
    <t>NV-STD</t>
  </si>
  <si>
    <t>BP Khối Phát Triển Khoa Học và Công Nghệ Novalab</t>
  </si>
  <si>
    <t>CP.00007</t>
  </si>
  <si>
    <t>Phí triển khai hệ thống Microsoft 365</t>
  </si>
  <si>
    <t>CP.00008</t>
  </si>
  <si>
    <t>Chi phí khắc phục sự cố kho Long Hậu</t>
  </si>
  <si>
    <t>SH-LOS</t>
  </si>
  <si>
    <t>CP.00009</t>
  </si>
  <si>
    <t>Chi phí bảo trì PM Bravo</t>
  </si>
  <si>
    <t>CP.00010</t>
  </si>
  <si>
    <t>Chi phí BH cháy nổ bắt buộc tài sản trong kho Long Hậu</t>
  </si>
  <si>
    <t>6423</t>
  </si>
  <si>
    <t>CP.00011</t>
  </si>
  <si>
    <t>Chi phí BH cháy nổ bắt buộc giá trị xây dựng kho Long Hậu</t>
  </si>
  <si>
    <t>CP.00012</t>
  </si>
  <si>
    <t>Chi phí bảo hiểm tai nạn và sức khỏe nhân viên 2023-2024</t>
  </si>
  <si>
    <t>SH-HRS</t>
  </si>
  <si>
    <t>CP.00013</t>
  </si>
  <si>
    <t>Phí dịch vụ hỗ trợ kỹ thuật triển khai phần mềm và dịch vụ IT</t>
  </si>
  <si>
    <t>CP.00014</t>
  </si>
  <si>
    <t>Chi phí hỗ trợ dịch vụ pháp lý theo hợp đồng 039/2023/HĐ-LHC-TTKD ngày 14/02/2023</t>
  </si>
  <si>
    <t>SH-BPK</t>
  </si>
  <si>
    <t>Bộ phận khác</t>
  </si>
  <si>
    <t>CP.00015</t>
  </si>
  <si>
    <t>Chi phí thi công văn phòng 338 NTT</t>
  </si>
  <si>
    <t>SH-BOD</t>
  </si>
  <si>
    <t>CP.00016</t>
  </si>
  <si>
    <t>Chi phí thiết kế văn phòng 338 NTT</t>
  </si>
  <si>
    <t>CP.00017</t>
  </si>
  <si>
    <t>Chi phí xây dựng các ứng dụng trên nền tảng Microsoft 365</t>
  </si>
  <si>
    <t>SH-IDT</t>
  </si>
  <si>
    <t>CP.00018</t>
  </si>
  <si>
    <t>Chi phí nội thất và điện tầng 3</t>
  </si>
  <si>
    <t>CP.00019</t>
  </si>
  <si>
    <t>Chi phí tư vấn và thiết kế nội thất</t>
  </si>
  <si>
    <t>CP.00020</t>
  </si>
  <si>
    <t>Dịch vụ nền tảng dữ liệu TradeInt- Vietnam Premium</t>
  </si>
  <si>
    <t>SH-PUR</t>
  </si>
  <si>
    <t>Mua hàng- Không sử dụng nhưng chưa xóa</t>
  </si>
  <si>
    <t>CP.00021</t>
  </si>
  <si>
    <t>Chi phí nội thất văn phòng HN</t>
  </si>
  <si>
    <t>SH-ADM</t>
  </si>
  <si>
    <t>CP.00022</t>
  </si>
  <si>
    <t>CP.00023</t>
  </si>
  <si>
    <t>CP.00024</t>
  </si>
  <si>
    <t>Bảo hiểm cháy nổ bắt buộc cho hàng hóa kho Q.12 và Thới Hòa</t>
  </si>
  <si>
    <t>CP.00025</t>
  </si>
  <si>
    <t>Chi phí nội thất và điện tầng 2 theo HĐKT số 15/2024</t>
  </si>
  <si>
    <t>CP.00026</t>
  </si>
  <si>
    <t>Dịch vụ hỗ trợ và nâng cấp PM khai hải quan điện tử</t>
  </si>
  <si>
    <t>Bộ Phận Kho Vận</t>
  </si>
  <si>
    <t>CP.00027</t>
  </si>
  <si>
    <t>Chi phí nội thất và điện tầng 5 theo HĐKT số 16/2024</t>
  </si>
  <si>
    <t>CP.00028</t>
  </si>
  <si>
    <t>Chi phí xây dựng ứng dụng Workflow trên Microsoft Power Apps</t>
  </si>
  <si>
    <t>CP.00030</t>
  </si>
  <si>
    <t>CP.00031</t>
  </si>
  <si>
    <t>Chi phí thi công nội thất VPHCM theo HĐ 18/2024</t>
  </si>
  <si>
    <t>CP.00032</t>
  </si>
  <si>
    <t>Phần mềm ứng dụng OneDrive for Business</t>
  </si>
  <si>
    <t>SH-MAR</t>
  </si>
  <si>
    <t>Phòng Marketing</t>
  </si>
  <si>
    <t>CP.00033</t>
  </si>
  <si>
    <t>Chi phí tư vấn xếp hạng kinh doanh bền vững theo tiêu chuẩn Eco Vadis</t>
  </si>
  <si>
    <t>SH-MSD</t>
  </si>
  <si>
    <t>Phòng Phát Triển Hệ Thống Quản Trị</t>
  </si>
  <si>
    <t>CP.00034</t>
  </si>
  <si>
    <t>Chi phí phần mềm ứng dụng 365 APAC</t>
  </si>
  <si>
    <t>CP.00035</t>
  </si>
  <si>
    <t>Chi phí phần mềm Sadesign</t>
  </si>
  <si>
    <t>CP.00036</t>
  </si>
  <si>
    <t>Chi phí phần mềm giải pháp đào tạo trực tuyến Cls.Enterprise</t>
  </si>
  <si>
    <t>SH-LDD</t>
  </si>
  <si>
    <t>Phòng Đào Tạo và Phát Triển</t>
  </si>
  <si>
    <t>CP.00037</t>
  </si>
  <si>
    <t>Chi phí bản quyền phần mềm cho thiết bị tường lửa Fortinet Fortigate 201F</t>
  </si>
  <si>
    <t>CP.00038</t>
  </si>
  <si>
    <t>Chi phí dịch vụ tư vấn, đánh giá và điều chỉnh, cải tiến hệ thống dự liệu và đào tạo kỹ năng liên quan đến hệ thống dữ liệu, phân tích dữ liệu theo Hợp đồng ký ngày 15/10/24</t>
  </si>
  <si>
    <t>SH-ADV</t>
  </si>
  <si>
    <t>Ban Cố Vấn</t>
  </si>
  <si>
    <t>CP.00039</t>
  </si>
  <si>
    <t>Phần mềm ứng dụng Microsoft 365 Copilot</t>
  </si>
  <si>
    <t>SH-ITS</t>
  </si>
  <si>
    <t>Bộ  phận Công Nghệ Thông Tin</t>
  </si>
  <si>
    <t>CP.00040CP</t>
  </si>
  <si>
    <t>Chi phí bảo hiểm tai nạn và sức khỏe nhân viên 2024-2025</t>
  </si>
  <si>
    <t>Bộ Phận Hành Chính</t>
  </si>
  <si>
    <t>CP.00041</t>
  </si>
  <si>
    <t>Chi phí nền tảng tra cứu TradeInt - Premium theo HĐ số TI250415098081</t>
  </si>
  <si>
    <t>Bộ phận mua hàng</t>
  </si>
  <si>
    <t>CP.00042</t>
  </si>
  <si>
    <t>Chi phí cải tạo kho mẫu quận 12</t>
  </si>
  <si>
    <t>CP.00043</t>
  </si>
  <si>
    <t>Phí bảo hiểm cháy nổ cho hàng hóa kho quận 12</t>
  </si>
  <si>
    <t>CP.00044</t>
  </si>
  <si>
    <t>Chi phí xác thực thông tin doanh nghiệp nâng cao</t>
  </si>
  <si>
    <t>CP.00045</t>
  </si>
  <si>
    <t>Chi phí thi công lắp đặt khu vực kiểm soát đặc biệt kho C</t>
  </si>
  <si>
    <t>CP.00046</t>
  </si>
  <si>
    <t>Chi phí bổ sung chức năng phần mềm Bravo</t>
  </si>
  <si>
    <t>SH-ACC</t>
  </si>
  <si>
    <t>Phòng kế toán</t>
  </si>
  <si>
    <t>CP.00047</t>
  </si>
  <si>
    <t>Chi phí thi công nội thất VPHCM theo HĐ ITC0906/2025/HDKT/NT-2025</t>
  </si>
  <si>
    <t>CP.00048</t>
  </si>
  <si>
    <t>Phí đánh giá giám sát năm thứ hai theo HD DV 2490/Ahead</t>
  </si>
  <si>
    <t>CP.00049</t>
  </si>
  <si>
    <t>Phí đánh giá chứng nhận năm đầu tiên theo HD DV 2552/Ahead</t>
  </si>
  <si>
    <t>CP.00050</t>
  </si>
  <si>
    <t>Chi phí sử dụng phần mềm OPLACRM theo HĐ ASIASHINE_OPLACRM_001</t>
  </si>
  <si>
    <t>SP-PBD</t>
  </si>
  <si>
    <t>Phòng Kinh Doanh Thiết Bị Lab và Vật Tư Tiêu hao Novalab</t>
  </si>
  <si>
    <t>CP.00051</t>
  </si>
  <si>
    <t>Chi phí bảo trì phần mềm Bravo</t>
  </si>
  <si>
    <t>CP.00052</t>
  </si>
  <si>
    <t>Phần mềm Anti-Virus  Kaspersky</t>
  </si>
  <si>
    <t>Ban Giám Đốc</t>
  </si>
  <si>
    <t>CP.00053</t>
  </si>
  <si>
    <t>Phí gia hạn " Triển khai phần mềm giải pháp đào tạo trực tuyến CLS.Enterprise"</t>
  </si>
  <si>
    <t>Bộ Phận Nhân sự</t>
  </si>
  <si>
    <t>CP.00054</t>
  </si>
  <si>
    <t>Chi phí lắp đặt trần và sàn khu vực biệt trữ kho B - SMI</t>
  </si>
  <si>
    <t>CP.00055</t>
  </si>
  <si>
    <t>Chi phí gia hạn bản quyền Office 365 &amp; Windows</t>
  </si>
  <si>
    <t>BP.PTKD Nguyên Liệu Thực Phẩm Ánh Sáng</t>
  </si>
  <si>
    <t>SH-RAC</t>
  </si>
  <si>
    <t>CP.00056</t>
  </si>
  <si>
    <t>Cước dịch vụ internet cho VP TTC từ 06/09/25-05/11/25</t>
  </si>
  <si>
    <t>CP.00057</t>
  </si>
  <si>
    <t>Cước dịch vụ internet cho VP 338 từ 01/09/25-31/08/25</t>
  </si>
  <si>
    <t>CP.00058</t>
  </si>
  <si>
    <t>Chi phí thuê văn phòng và phí quản lý TTC tháng 10, 11, 12/2025</t>
  </si>
  <si>
    <t>2421</t>
  </si>
  <si>
    <t>CP.00059</t>
  </si>
  <si>
    <t>Chi phí thuê VPHN từ tháng 10-12/2025</t>
  </si>
  <si>
    <t>SH-AHS</t>
  </si>
  <si>
    <t>Bộ Phận Hành Chính Nhân Sự ( Văn Phòng Hà Nội )</t>
  </si>
  <si>
    <t>CP.00060</t>
  </si>
  <si>
    <t>Phần mềm Anti-Virus 12 tháng</t>
  </si>
  <si>
    <t>SI-PAC</t>
  </si>
  <si>
    <t>Phòng Tài Chính</t>
  </si>
  <si>
    <t>CP.00061</t>
  </si>
  <si>
    <t>Phần mềm OneDrive for Business 12 tháng</t>
  </si>
  <si>
    <t>CP.00062</t>
  </si>
  <si>
    <t>Phần mềm Hạ tầng tương tác thông minh cho quản lý nhà xưởng</t>
  </si>
  <si>
    <t>CP.00063</t>
  </si>
  <si>
    <t>Chi phí bảo hiểm tai nạn và sức khỏe nhân viên 2025-2026</t>
  </si>
  <si>
    <t>CP.00064</t>
  </si>
  <si>
    <t>Chi phí sử dụng phần mềm OPLACRM theo HĐ AS_OPLACRM_002</t>
  </si>
  <si>
    <t>CP.00065</t>
  </si>
  <si>
    <t>Chi phí thi công VP TTC theo hợp đồng số 07/2025/CDS</t>
  </si>
  <si>
    <t>CP.00066</t>
  </si>
  <si>
    <t>Chi phí thi công thay thế cánh cửa hệ tủ phòng Lab</t>
  </si>
  <si>
    <t>CP.00067</t>
  </si>
  <si>
    <t>Chi phí gia hạn bản quyền phần mềm Fortinet Fortigate</t>
  </si>
  <si>
    <t>Ban Công Nghệ Thông Tin và Chuyển Đổi</t>
  </si>
  <si>
    <t>CP.00068</t>
  </si>
  <si>
    <t>Quyền sử dụng đất theo HĐ thuê lại đất số 237/2022/HĐ-LHC-TTKD ngày 07/07/2022 lô 3D-1</t>
  </si>
  <si>
    <t>CP.00069</t>
  </si>
  <si>
    <t>Chi phí thuê văn phòng và phí quản lý TTC tháng 01, 02, 03/2026</t>
  </si>
  <si>
    <t>CP.00070</t>
  </si>
  <si>
    <t>Chi phí bảo hiểm TNDS và VCX xe 51K-929-48 năm 2026</t>
  </si>
  <si>
    <t>CP.00071</t>
  </si>
  <si>
    <t>Phí đánh giá chứng nhận theo tiêu chuẩn Organic EU, NOP</t>
  </si>
  <si>
    <t>Phòng Đăng Ký và Chất Lượng</t>
  </si>
  <si>
    <t>CP.00072</t>
  </si>
  <si>
    <t>Chi phí thuê VPHN từ tháng 01-03/2026</t>
  </si>
  <si>
    <t>CP.00100</t>
  </si>
  <si>
    <t>Phần mềm ứng dụng Microsoft 365</t>
  </si>
  <si>
    <t>CP.00101</t>
  </si>
  <si>
    <t>CP.00102</t>
  </si>
  <si>
    <t>CP.00103</t>
  </si>
  <si>
    <t>Phí bảo hiểm cháy nổ cho hàng hóa kho Quận 12 từ 18/11/25-17/11/26</t>
  </si>
  <si>
    <t>CP.00112CP</t>
  </si>
  <si>
    <t>SH-FIN</t>
  </si>
  <si>
    <t>CP.00113CP</t>
  </si>
  <si>
    <t>Phí bảo hiểm cháy nổ 2024 2025</t>
  </si>
  <si>
    <t>CP.00114CP</t>
  </si>
  <si>
    <t>Chi phí thẩm định độ đồng đều của kho</t>
  </si>
  <si>
    <t>Tổng cộng:</t>
  </si>
  <si>
    <t xml:space="preserve">Ngày . . . . . tháng . . . . . năm . . . . . . . </t>
  </si>
  <si>
    <t>Người lập</t>
  </si>
  <si>
    <t>Kế toán trưởng</t>
  </si>
  <si>
    <t>(Ký, họ tên)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</si>
</sst>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
  </numFmts>
  <fonts count="6" x14ac:knownFonts="1">
    <font>
      <sz val="11"/>
      <color theme="1"/>
      <name val="Calibri"/>
      <family val="2"/>
      <scheme val="minor"/>
    </font>
    <font>
      <i/>
      <sz val="10"/>
      <color rgb="FF000000"/>
      <name val="Times New Roman"/>
      <family val="2"/>
    </font>
    <font>
      <b/>
      <sz val="10"/>
      <color rgb="FF000000"/>
      <name val="Times New Roman"/>
      <family val="2"/>
    </font>
    <font>
      <sz val="10"/>
      <color rgb="FF000000"/>
      <name val="Times New Roman"/>
      <family val="2"/>
    </font>
    <font>
      <b/>
      <i/>
      <sz val="10"/>
      <color rgb="FF000000"/>
      <name val="Times New Roman"/>
      <family val="2"/>
    </font>
    <font>
      <b/>
      <sz val="14.25"/>
      <color rgb="FF000000"/>
      <name val="Times New Roman"/>
      <family val="2"/>
    </font>
  </fonts>
  <fills count="5">
    <fill>
      <patternFill patternType="none"/>
    </fill>
    <fill>
      <patternFill patternType="gray125"/>
    </fill>
    <fill>
      <patternFill patternType="solid">
        <fgColor rgb="FFFFFFFF"/>
        <bgColor indexed="64"/>
      </patternFill>
    </fill>
    <fill>
      <patternFill patternType="solid">
        <fgColor rgb="FFFFFFF0"/>
        <bgColor indexed="64"/>
      </patternFill>
    </fill>
    <fill>
      <patternFill patternType="solid">
        <fgColor rgb="FFFAFAD2"/>
        <bgColor indexed="64"/>
      </patternFill>
    </fill>
  </fills>
  <borders count="11">
    <border>
      <left/>
      <right/>
      <top/>
      <bottom/>
      <diagonal/>
    </border>
    <border>
      <left style="thin">
        <color rgb="FF000000"/>
      </left>
      <right style="thin">
        <color rgb="FFA0A0A0"/>
      </right>
      <top style="thin">
        <color rgb="FF000000"/>
      </top>
      <bottom style="thin">
        <color rgb="FFA0A0A0"/>
      </bottom>
      <diagonal/>
    </border>
    <border>
      <left/>
      <right/>
      <top/>
      <bottom style="thin">
        <color rgb="FF00000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right style="thin">
        <color rgb="FFE3E3E3"/>
      </right>
      <top/>
      <bottom style="thin">
        <color rgb="FFE3E3E3"/>
      </bottom>
      <diagonal/>
    </border>
    <border>
      <left/>
      <right style="thin">
        <color rgb="FFE3E3E3"/>
      </right>
      <top/>
      <bottom style="thin">
        <color rgb="FF000000"/>
      </bottom>
      <diagonal/>
    </border>
    <border>
      <left style="thin">
        <color rgb="FF000000"/>
      </left>
      <right style="thin">
        <color rgb="FFE3E3E3"/>
      </right>
      <top/>
      <bottom style="thin">
        <color rgb="FFE3E3E3"/>
      </bottom>
      <diagonal/>
    </border>
    <border>
      <left style="thin">
        <color rgb="FF000000"/>
      </left>
      <right style="thin">
        <color rgb="FFE3E3E3"/>
      </right>
      <top/>
      <bottom style="thin">
        <color rgb="FF000000"/>
      </bottom>
      <diagonal/>
    </border>
    <border>
      <left/>
      <right style="thin">
        <color rgb="FF000000"/>
      </right>
      <top/>
      <bottom style="thin">
        <color rgb="FFE3E3E3"/>
      </bottom>
      <diagonal/>
    </border>
    <border>
      <left/>
      <right style="thin">
        <color rgb="FF000000"/>
      </right>
      <top/>
      <bottom style="thin">
        <color rgb="FF000000"/>
      </bottom>
      <diagonal/>
    </border>
  </borders>
  <cellStyleXfs count="1">
    <xf numFmtId="0" fontId="0" fillId="0" borderId="0"/>
  </cellStyleXfs>
  <cellXfs count="24">
    <xf numFmtId="0" fontId="0" fillId="0" borderId="0" xfId="0"/>
    <xf numFmtId="0" fontId="1" fillId="2" borderId="0" xfId="0" applyFont="1" applyFill="1" applyAlignment="1">
      <alignment horizontal="center" vertical="top"/>
    </xf>
    <xf numFmtId="0" fontId="2" fillId="2" borderId="0" xfId="0" applyFont="1" applyFill="1" applyAlignment="1">
      <alignment horizontal="center" vertical="top"/>
    </xf>
    <xf numFmtId="0" fontId="1" fillId="2" borderId="0" xfId="0" applyFont="1" applyFill="1" applyAlignment="1">
      <alignment horizontal="center"/>
    </xf>
    <xf numFmtId="0" fontId="3" fillId="2" borderId="0" xfId="0" applyFont="1" applyFill="1" applyAlignment="1">
      <alignment horizontal="left" vertical="top"/>
    </xf>
    <xf numFmtId="0" fontId="2" fillId="4" borderId="6" xfId="0" applyFont="1" applyFill="1" applyBorder="1" applyAlignment="1">
      <alignment horizontal="left" vertical="top" wrapText="1"/>
    </xf>
    <xf numFmtId="0" fontId="3" fillId="2" borderId="5" xfId="0" applyFont="1" applyFill="1" applyBorder="1" applyAlignment="1">
      <alignment horizontal="left" vertical="top" wrapText="1"/>
    </xf>
    <xf numFmtId="0" fontId="2" fillId="3" borderId="3" xfId="0" applyFont="1" applyFill="1" applyBorder="1" applyAlignment="1">
      <alignment horizontal="center" vertical="center" wrapText="1"/>
    </xf>
    <xf numFmtId="0" fontId="3" fillId="2" borderId="2" xfId="0" applyFont="1" applyFill="1" applyBorder="1" applyAlignment="1">
      <alignment horizontal="left" vertical="top"/>
    </xf>
    <xf numFmtId="0" fontId="4" fillId="2" borderId="0" xfId="0" applyFont="1" applyFill="1" applyAlignment="1">
      <alignment horizontal="center" vertical="center"/>
    </xf>
    <xf numFmtId="0" fontId="5" fillId="2" borderId="0" xfId="0" applyFont="1" applyFill="1" applyAlignment="1">
      <alignment horizontal="center" vertical="center"/>
    </xf>
    <xf numFmtId="0" fontId="2"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2" borderId="5" xfId="0" applyFont="1" applyFill="1" applyBorder="1" applyAlignment="1">
      <alignment horizontal="left" vertical="top"/>
    </xf>
    <xf numFmtId="3" fontId="3" fillId="2" borderId="5" xfId="0" applyNumberFormat="1" applyFont="1" applyFill="1" applyBorder="1" applyAlignment="1">
      <alignment horizontal="right" vertical="top"/>
    </xf>
    <xf numFmtId="164" fontId="3" fillId="2" borderId="5" xfId="0" applyNumberFormat="1" applyFont="1" applyFill="1" applyBorder="1" applyAlignment="1">
      <alignment horizontal="center" vertical="top"/>
    </xf>
    <xf numFmtId="0" fontId="2" fillId="4" borderId="6" xfId="0" applyFont="1" applyFill="1" applyBorder="1" applyAlignment="1">
      <alignment horizontal="left" vertical="top"/>
    </xf>
    <xf numFmtId="3" fontId="2" fillId="4" borderId="6" xfId="0" applyNumberFormat="1" applyFont="1" applyFill="1" applyBorder="1" applyAlignment="1">
      <alignment horizontal="right" vertical="top"/>
    </xf>
    <xf numFmtId="0" fontId="3" fillId="2" borderId="7" xfId="0" applyFont="1" applyFill="1" applyBorder="1" applyAlignment="1">
      <alignment horizontal="left" vertical="top"/>
    </xf>
    <xf numFmtId="0" fontId="2" fillId="4" borderId="8" xfId="0" applyFont="1" applyFill="1" applyBorder="1" applyAlignment="1">
      <alignment horizontal="left" vertical="top"/>
    </xf>
    <xf numFmtId="0" fontId="3" fillId="2" borderId="9" xfId="0" applyFont="1" applyFill="1" applyBorder="1" applyAlignment="1">
      <alignment horizontal="left" vertical="top"/>
    </xf>
    <xf numFmtId="0" fontId="2" fillId="4" borderId="10" xfId="0"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0</xdr:col>
      <xdr:colOff>7620</xdr:colOff>
      <xdr:row>0</xdr:row>
      <xdr:rowOff>7620</xdr:rowOff>
    </xdr:from>
    <xdr:ext cx="4762500" cy="662940"/>
    <xdr:sp macro="" textlink="" fLocksText="0">
      <xdr:nvSpPr>
        <xdr:cNvPr id="2" name="TextBox 1">
          <a:extLst>
            <a:ext uri="{FF2B5EF4-FFF2-40B4-BE49-F238E27FC236}">
              <a16:creationId xmlns:a16="http://schemas.microsoft.com/office/drawing/2014/main" id="{00000000-0008-0000-0000-000002000000}"/>
            </a:ext>
          </a:extLst>
        </xdr:cNvPr>
        <xdr:cNvSpPr txBox="1"/>
      </xdr:nvSpPr>
      <xdr:spPr>
        <a:xfrm>
          <a:off x="7620" y="7620"/>
          <a:ext cx="4762500" cy="662940"/>
        </a:xfrm>
        <a:prstGeom prst="rect">
          <a:avLst/>
        </a:prstGeom>
        <a:noFill/>
        <a:ln w="9525">
          <a:noFill/>
        </a:ln>
      </xdr:spPr>
      <xdr:style>
        <a:lnRef idx="2">
          <a:schemeClr val="accent1">
            <a:shade val="50000"/>
          </a:schemeClr>
        </a:lnRef>
        <a:fillRef idx="1">
          <a:schemeClr val="accent1"/>
        </a:fillRef>
        <a:effectRef idx="0">
          <a:schemeClr val="accent1"/>
        </a:effectRef>
        <a:fontRef idx="minor">
          <a:schemeClr val="tx1"/>
        </a:fontRef>
      </xdr:style>
      <xdr:txBody>
        <a:bodyPr vertOverflow="clip" horzOverflow="clip" wrap="square" lIns="7620" tIns="7620" rIns="7620" bIns="7620" anchor="ctr" anchorCtr="0"/>
        <a:lstStyle/>
        <a:p>
          <a:pPr algn="l">
            <a:defRPr lang="en-US" sz="1000" b="1" i="0" u="none" baseline="0">
              <a:solidFill>
                <a:srgbClr val="000000"/>
              </a:solidFill>
              <a:latin typeface="Times New Roman"/>
              <a:ea typeface="Times New Roman"/>
              <a:cs typeface="Times New Roman"/>
            </a:defRPr>
          </a:pPr>
          <a:r>
            <a:rPr lang="en-US" sz="1000" b="1" i="0" u="none" baseline="0">
              <a:solidFill>
                <a:srgbClr val="000000"/>
              </a:solidFill>
              <a:latin typeface="Times New Roman"/>
              <a:ea typeface="Times New Roman"/>
              <a:cs typeface="Times New Roman"/>
            </a:rPr>
            <a:t>CÔNG TY CỔ PHẦN ÁNH SÁNG CHÂU Á</a:t>
          </a:r>
        </a:p>
        <a:p>
          <a:pPr algn="l">
            <a:defRPr lang="en-US" sz="1000" b="1" i="0" u="none" baseline="0">
              <a:solidFill>
                <a:srgbClr val="000000"/>
              </a:solidFill>
              <a:latin typeface="Times New Roman"/>
              <a:ea typeface="Times New Roman"/>
              <a:cs typeface="Times New Roman"/>
            </a:defRPr>
          </a:pPr>
          <a:r>
            <a:rPr lang="en-US" sz="1000" b="1" i="0" u="none" baseline="0">
              <a:solidFill>
                <a:srgbClr val="000000"/>
              </a:solidFill>
              <a:latin typeface="Times New Roman"/>
              <a:ea typeface="Times New Roman"/>
              <a:cs typeface="Times New Roman"/>
            </a:rPr>
            <a:t>338 Nguyễn Trọng Tuyển, Phường Tân Sơn Hòa, TP. HCM, Việt Nam</a:t>
          </a:r>
        </a:p>
        <a:p>
          <a:pPr algn="l">
            <a:defRPr lang="en-US" sz="1000" b="1" i="0" u="none" baseline="0">
              <a:solidFill>
                <a:srgbClr val="000000"/>
              </a:solidFill>
              <a:latin typeface="Times New Roman"/>
              <a:ea typeface="Times New Roman"/>
              <a:cs typeface="Times New Roman"/>
            </a:defRPr>
          </a:pPr>
          <a:r>
            <a:rPr lang="en-US" sz="1000" b="1" i="0" u="none" baseline="0">
              <a:solidFill>
                <a:srgbClr val="000000"/>
              </a:solidFill>
              <a:latin typeface="Times New Roman"/>
              <a:ea typeface="Times New Roman"/>
              <a:cs typeface="Times New Roman"/>
            </a:rPr>
            <a:t>0304933135</a:t>
          </a: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O89"/>
  <sheetViews>
    <sheetView showGridLines="0" showZeros="0" tabSelected="1" workbookViewId="0">
      <selection activeCell="A5" sqref="A5:XFD5"/>
    </sheetView>
  </sheetViews>
  <sheetFormatPr defaultRowHeight="14.4" x14ac:dyDescent="0.3"/>
  <cols>
    <col min="1" max="1" width="14.109375"/>
    <col min="2" max="2" width="27.5546875"/>
    <col min="3" max="3" width="12.6640625"/>
    <col min="4" max="5" width="9.109375"/>
    <col min="6" max="6" width="14.77734375"/>
    <col min="7" max="7" width="12.44140625"/>
    <col min="8" max="9" width="14.77734375"/>
    <col min="10" max="10" width="9.44140625"/>
    <col min="11" max="11" width="9.6640625"/>
    <col min="12" max="12" width="18.44140625"/>
    <col min="13" max="13" width="6.109375"/>
    <col min="14" max="14" width="14.109375"/>
    <col min="15" max="15" width="19.44140625"/>
  </cols>
  <sheetData>
    <row r="1" spans="1:15" ht="52.2" customHeight="1" x14ac:dyDescent="0.3">
      <c r="A1" s="11"/>
    </row>
    <row r="2" spans="1:15" ht="19.2" customHeight="1" x14ac:dyDescent="0.3">
      <c r="A2" s="10" t="s">
        <v>0</v>
      </c>
      <c r="B2" s="10"/>
      <c r="C2" s="10"/>
      <c r="D2" s="10"/>
      <c r="E2" s="10"/>
      <c r="F2" s="10"/>
      <c r="G2" s="10"/>
      <c r="H2" s="10"/>
      <c r="I2" s="10"/>
      <c r="J2" s="10"/>
      <c r="K2" s="10"/>
      <c r="L2" s="10"/>
      <c r="M2" s="10"/>
      <c r="N2" s="10"/>
      <c r="O2" s="10"/>
    </row>
    <row r="3" spans="1:15" ht="15.6" customHeight="1" x14ac:dyDescent="0.3">
      <c r="A3" s="9" t="s">
        <v>1</v>
      </c>
      <c r="B3" s="9"/>
      <c r="C3" s="9"/>
      <c r="D3" s="9"/>
      <c r="E3" s="9"/>
      <c r="F3" s="9"/>
      <c r="G3" s="9"/>
      <c r="H3" s="9"/>
      <c r="I3" s="9"/>
      <c r="J3" s="9"/>
      <c r="K3" s="9"/>
      <c r="L3" s="9"/>
      <c r="M3" s="9"/>
      <c r="N3" s="9"/>
      <c r="O3" s="9"/>
    </row>
    <row r="4" spans="1:15" ht="7.2" customHeight="1" x14ac:dyDescent="0.3">
      <c r="A4" s="8"/>
      <c r="B4" s="8"/>
      <c r="C4" s="8"/>
      <c r="D4" s="8"/>
      <c r="E4" s="8"/>
      <c r="F4" s="8"/>
      <c r="G4" s="8"/>
      <c r="H4" s="8"/>
      <c r="I4" s="8"/>
      <c r="J4" s="8"/>
      <c r="K4" s="8"/>
      <c r="L4" s="8"/>
      <c r="M4" s="8"/>
      <c r="N4" s="8"/>
      <c r="O4" s="8"/>
    </row>
    <row r="5" spans="1:15" ht="30" customHeight="1" x14ac:dyDescent="0.3">
      <c r="A5" s="12" t="s">
        <v>2</v>
      </c>
      <c r="B5" s="7" t="s">
        <v>3</v>
      </c>
      <c r="C5" s="7"/>
      <c r="D5" s="13" t="s">
        <v>4</v>
      </c>
      <c r="E5" s="13" t="s">
        <v>5</v>
      </c>
      <c r="F5" s="13" t="s">
        <v>6</v>
      </c>
      <c r="G5" s="13" t="s">
        <v>7</v>
      </c>
      <c r="H5" s="13" t="s">
        <v>8</v>
      </c>
      <c r="I5" s="13" t="s">
        <v>9</v>
      </c>
      <c r="J5" s="13" t="s">
        <v>10</v>
      </c>
      <c r="K5" s="13" t="s">
        <v>11</v>
      </c>
      <c r="L5" s="7" t="s">
        <v>12</v>
      </c>
      <c r="M5" s="7"/>
      <c r="N5" s="13" t="s">
        <v>13</v>
      </c>
      <c r="O5" s="14" t="s">
        <v>14</v>
      </c>
    </row>
    <row r="6" spans="1:15" ht="16.2" customHeight="1" x14ac:dyDescent="0.3">
      <c r="A6" s="20" t="s">
        <v>15</v>
      </c>
      <c r="B6" s="6" t="s">
        <v>16</v>
      </c>
      <c r="C6" s="6"/>
      <c r="D6" s="16">
        <v>12</v>
      </c>
      <c r="E6" s="17">
        <v>44711</v>
      </c>
      <c r="F6" s="16">
        <v>63896052</v>
      </c>
      <c r="G6" s="16">
        <v>0</v>
      </c>
      <c r="H6" s="16">
        <v>63896052</v>
      </c>
      <c r="I6" s="16">
        <v>0</v>
      </c>
      <c r="J6" s="15" t="s">
        <v>17</v>
      </c>
      <c r="K6" s="15" t="s">
        <v>18</v>
      </c>
      <c r="L6" s="6"/>
      <c r="M6" s="6"/>
      <c r="N6" s="15" t="s">
        <v>19</v>
      </c>
      <c r="O6" s="22" t="s">
        <v>20</v>
      </c>
    </row>
    <row r="7" spans="1:15" ht="30" customHeight="1" x14ac:dyDescent="0.3">
      <c r="A7" s="20" t="s">
        <v>21</v>
      </c>
      <c r="B7" s="6" t="s">
        <v>22</v>
      </c>
      <c r="C7" s="6"/>
      <c r="D7" s="16">
        <v>12</v>
      </c>
      <c r="E7" s="17">
        <v>44848</v>
      </c>
      <c r="F7" s="16">
        <v>142560000</v>
      </c>
      <c r="G7" s="16">
        <v>0</v>
      </c>
      <c r="H7" s="16">
        <v>142560000</v>
      </c>
      <c r="I7" s="16">
        <v>0</v>
      </c>
      <c r="J7" s="15" t="s">
        <v>23</v>
      </c>
      <c r="K7" s="15" t="s">
        <v>18</v>
      </c>
      <c r="L7" s="6"/>
      <c r="M7" s="6"/>
      <c r="N7" s="15" t="s">
        <v>24</v>
      </c>
      <c r="O7" s="22" t="s">
        <v>25</v>
      </c>
    </row>
    <row r="8" spans="1:15" ht="30" customHeight="1" x14ac:dyDescent="0.3">
      <c r="A8" s="20" t="s">
        <v>26</v>
      </c>
      <c r="B8" s="6" t="s">
        <v>27</v>
      </c>
      <c r="C8" s="6"/>
      <c r="D8" s="16">
        <v>12</v>
      </c>
      <c r="E8" s="17">
        <v>44866</v>
      </c>
      <c r="F8" s="16">
        <v>208287813</v>
      </c>
      <c r="G8" s="16">
        <v>0</v>
      </c>
      <c r="H8" s="16">
        <v>208287813</v>
      </c>
      <c r="I8" s="16">
        <v>0</v>
      </c>
      <c r="J8" s="15" t="s">
        <v>28</v>
      </c>
      <c r="K8" s="15" t="s">
        <v>18</v>
      </c>
      <c r="L8" s="6"/>
      <c r="M8" s="6"/>
      <c r="N8" s="15" t="s">
        <v>24</v>
      </c>
      <c r="O8" s="22" t="s">
        <v>25</v>
      </c>
    </row>
    <row r="9" spans="1:15" ht="16.2" customHeight="1" x14ac:dyDescent="0.3">
      <c r="A9" s="20" t="s">
        <v>29</v>
      </c>
      <c r="B9" s="6" t="s">
        <v>30</v>
      </c>
      <c r="C9" s="6"/>
      <c r="D9" s="16">
        <v>12</v>
      </c>
      <c r="E9" s="17">
        <v>44914</v>
      </c>
      <c r="F9" s="16">
        <v>39204141</v>
      </c>
      <c r="G9" s="16">
        <v>0</v>
      </c>
      <c r="H9" s="16">
        <v>39204141</v>
      </c>
      <c r="I9" s="16">
        <v>0</v>
      </c>
      <c r="J9" s="15" t="s">
        <v>31</v>
      </c>
      <c r="K9" s="15" t="s">
        <v>18</v>
      </c>
      <c r="L9" s="6"/>
      <c r="M9" s="6"/>
      <c r="N9" s="15" t="s">
        <v>32</v>
      </c>
      <c r="O9" s="22" t="s">
        <v>33</v>
      </c>
    </row>
    <row r="10" spans="1:15" ht="16.2" customHeight="1" x14ac:dyDescent="0.3">
      <c r="A10" s="20" t="s">
        <v>34</v>
      </c>
      <c r="B10" s="6" t="s">
        <v>35</v>
      </c>
      <c r="C10" s="6"/>
      <c r="D10" s="16">
        <v>12</v>
      </c>
      <c r="E10" s="17">
        <v>45114</v>
      </c>
      <c r="F10" s="16">
        <v>168998400</v>
      </c>
      <c r="G10" s="16">
        <v>0</v>
      </c>
      <c r="H10" s="16">
        <v>168998400</v>
      </c>
      <c r="I10" s="16">
        <v>0</v>
      </c>
      <c r="J10" s="15" t="s">
        <v>23</v>
      </c>
      <c r="K10" s="15" t="s">
        <v>18</v>
      </c>
      <c r="L10" s="6"/>
      <c r="M10" s="6"/>
      <c r="N10" s="15" t="s">
        <v>24</v>
      </c>
      <c r="O10" s="22" t="s">
        <v>25</v>
      </c>
    </row>
    <row r="11" spans="1:15" ht="16.2" customHeight="1" x14ac:dyDescent="0.3">
      <c r="A11" s="20" t="s">
        <v>36</v>
      </c>
      <c r="B11" s="6" t="s">
        <v>37</v>
      </c>
      <c r="C11" s="6"/>
      <c r="D11" s="16">
        <v>36</v>
      </c>
      <c r="E11" s="17">
        <v>45162</v>
      </c>
      <c r="F11" s="16">
        <v>750000000</v>
      </c>
      <c r="G11" s="16">
        <v>20833333</v>
      </c>
      <c r="H11" s="16">
        <v>624999990</v>
      </c>
      <c r="I11" s="16">
        <v>125000010</v>
      </c>
      <c r="J11" s="15" t="s">
        <v>28</v>
      </c>
      <c r="K11" s="15" t="s">
        <v>18</v>
      </c>
      <c r="L11" s="6"/>
      <c r="M11" s="6"/>
      <c r="N11" s="15" t="s">
        <v>38</v>
      </c>
      <c r="O11" s="22" t="s">
        <v>39</v>
      </c>
    </row>
    <row r="12" spans="1:15" ht="16.2" customHeight="1" x14ac:dyDescent="0.3">
      <c r="A12" s="20" t="s">
        <v>40</v>
      </c>
      <c r="B12" s="6" t="s">
        <v>41</v>
      </c>
      <c r="C12" s="6"/>
      <c r="D12" s="16">
        <v>12</v>
      </c>
      <c r="E12" s="17">
        <v>45170</v>
      </c>
      <c r="F12" s="16">
        <v>35000000</v>
      </c>
      <c r="G12" s="16">
        <v>0</v>
      </c>
      <c r="H12" s="16">
        <v>35000000</v>
      </c>
      <c r="I12" s="16">
        <v>0</v>
      </c>
      <c r="J12" s="15" t="s">
        <v>23</v>
      </c>
      <c r="K12" s="15" t="s">
        <v>18</v>
      </c>
      <c r="L12" s="6"/>
      <c r="M12" s="6"/>
      <c r="N12" s="15" t="s">
        <v>24</v>
      </c>
      <c r="O12" s="22" t="s">
        <v>25</v>
      </c>
    </row>
    <row r="13" spans="1:15" ht="16.2" customHeight="1" x14ac:dyDescent="0.3">
      <c r="A13" s="20" t="s">
        <v>42</v>
      </c>
      <c r="B13" s="6" t="s">
        <v>43</v>
      </c>
      <c r="C13" s="6"/>
      <c r="D13" s="16">
        <v>36</v>
      </c>
      <c r="E13" s="17">
        <v>45170</v>
      </c>
      <c r="F13" s="16">
        <v>443295047</v>
      </c>
      <c r="G13" s="16">
        <v>12313751</v>
      </c>
      <c r="H13" s="16">
        <v>357098779</v>
      </c>
      <c r="I13" s="16">
        <v>86196268</v>
      </c>
      <c r="J13" s="15" t="s">
        <v>28</v>
      </c>
      <c r="K13" s="15" t="s">
        <v>18</v>
      </c>
      <c r="L13" s="6"/>
      <c r="M13" s="6"/>
      <c r="N13" s="15" t="s">
        <v>44</v>
      </c>
      <c r="O13" s="22" t="s">
        <v>20</v>
      </c>
    </row>
    <row r="14" spans="1:15" ht="16.2" customHeight="1" x14ac:dyDescent="0.3">
      <c r="A14" s="20" t="s">
        <v>45</v>
      </c>
      <c r="B14" s="6" t="s">
        <v>46</v>
      </c>
      <c r="C14" s="6"/>
      <c r="D14" s="16">
        <v>12</v>
      </c>
      <c r="E14" s="17">
        <v>45170</v>
      </c>
      <c r="F14" s="16">
        <v>102140000</v>
      </c>
      <c r="G14" s="16">
        <v>0</v>
      </c>
      <c r="H14" s="16">
        <v>102140000</v>
      </c>
      <c r="I14" s="16">
        <v>0</v>
      </c>
      <c r="J14" s="15" t="s">
        <v>23</v>
      </c>
      <c r="K14" s="15" t="s">
        <v>18</v>
      </c>
      <c r="L14" s="6"/>
      <c r="M14" s="6"/>
      <c r="N14" s="15" t="s">
        <v>24</v>
      </c>
      <c r="O14" s="22" t="s">
        <v>25</v>
      </c>
    </row>
    <row r="15" spans="1:15" ht="30" customHeight="1" x14ac:dyDescent="0.3">
      <c r="A15" s="20" t="s">
        <v>47</v>
      </c>
      <c r="B15" s="6" t="s">
        <v>48</v>
      </c>
      <c r="C15" s="6"/>
      <c r="D15" s="16">
        <v>12</v>
      </c>
      <c r="E15" s="17">
        <v>45261</v>
      </c>
      <c r="F15" s="16">
        <v>61141727</v>
      </c>
      <c r="G15" s="16">
        <v>0</v>
      </c>
      <c r="H15" s="16">
        <v>61141727</v>
      </c>
      <c r="I15" s="16">
        <v>0</v>
      </c>
      <c r="J15" s="15" t="s">
        <v>49</v>
      </c>
      <c r="K15" s="15" t="s">
        <v>18</v>
      </c>
      <c r="L15" s="6"/>
      <c r="M15" s="6"/>
      <c r="N15" s="15" t="s">
        <v>19</v>
      </c>
      <c r="O15" s="22" t="s">
        <v>20</v>
      </c>
    </row>
    <row r="16" spans="1:15" ht="30" customHeight="1" x14ac:dyDescent="0.3">
      <c r="A16" s="20" t="s">
        <v>50</v>
      </c>
      <c r="B16" s="6" t="s">
        <v>51</v>
      </c>
      <c r="C16" s="6"/>
      <c r="D16" s="16">
        <v>12</v>
      </c>
      <c r="E16" s="17">
        <v>45261</v>
      </c>
      <c r="F16" s="16">
        <v>53604000</v>
      </c>
      <c r="G16" s="16">
        <v>0</v>
      </c>
      <c r="H16" s="16">
        <v>53604000</v>
      </c>
      <c r="I16" s="16">
        <v>0</v>
      </c>
      <c r="J16" s="15" t="s">
        <v>49</v>
      </c>
      <c r="K16" s="15" t="s">
        <v>18</v>
      </c>
      <c r="L16" s="6"/>
      <c r="M16" s="6"/>
      <c r="N16" s="15" t="s">
        <v>19</v>
      </c>
      <c r="O16" s="22" t="s">
        <v>20</v>
      </c>
    </row>
    <row r="17" spans="1:15" ht="30" customHeight="1" x14ac:dyDescent="0.3">
      <c r="A17" s="20" t="s">
        <v>52</v>
      </c>
      <c r="B17" s="6" t="s">
        <v>53</v>
      </c>
      <c r="C17" s="6"/>
      <c r="D17" s="16">
        <v>12</v>
      </c>
      <c r="E17" s="17">
        <v>45261</v>
      </c>
      <c r="F17" s="16">
        <v>252265029</v>
      </c>
      <c r="G17" s="16">
        <v>0</v>
      </c>
      <c r="H17" s="16">
        <v>252265029</v>
      </c>
      <c r="I17" s="16">
        <v>0</v>
      </c>
      <c r="J17" s="15" t="s">
        <v>28</v>
      </c>
      <c r="K17" s="15" t="s">
        <v>18</v>
      </c>
      <c r="L17" s="6"/>
      <c r="M17" s="6"/>
      <c r="N17" s="15" t="s">
        <v>54</v>
      </c>
      <c r="O17" s="22" t="s">
        <v>25</v>
      </c>
    </row>
    <row r="18" spans="1:15" ht="30" customHeight="1" x14ac:dyDescent="0.3">
      <c r="A18" s="20" t="s">
        <v>55</v>
      </c>
      <c r="B18" s="6" t="s">
        <v>56</v>
      </c>
      <c r="C18" s="6"/>
      <c r="D18" s="16">
        <v>12</v>
      </c>
      <c r="E18" s="17">
        <v>45267</v>
      </c>
      <c r="F18" s="16">
        <v>38000000</v>
      </c>
      <c r="G18" s="16">
        <v>0</v>
      </c>
      <c r="H18" s="16">
        <v>38000000</v>
      </c>
      <c r="I18" s="16">
        <v>0</v>
      </c>
      <c r="J18" s="15" t="s">
        <v>23</v>
      </c>
      <c r="K18" s="15" t="s">
        <v>18</v>
      </c>
      <c r="L18" s="6"/>
      <c r="M18" s="6"/>
      <c r="N18" s="15" t="s">
        <v>24</v>
      </c>
      <c r="O18" s="22" t="s">
        <v>25</v>
      </c>
    </row>
    <row r="19" spans="1:15" ht="30" customHeight="1" x14ac:dyDescent="0.3">
      <c r="A19" s="20" t="s">
        <v>57</v>
      </c>
      <c r="B19" s="6" t="s">
        <v>58</v>
      </c>
      <c r="C19" s="6"/>
      <c r="D19" s="16">
        <v>12</v>
      </c>
      <c r="E19" s="17">
        <v>45258</v>
      </c>
      <c r="F19" s="16">
        <v>252000000</v>
      </c>
      <c r="G19" s="16">
        <v>0</v>
      </c>
      <c r="H19" s="16">
        <v>252000000</v>
      </c>
      <c r="I19" s="16">
        <v>0</v>
      </c>
      <c r="J19" s="15" t="s">
        <v>23</v>
      </c>
      <c r="K19" s="15" t="s">
        <v>18</v>
      </c>
      <c r="L19" s="6"/>
      <c r="M19" s="6"/>
      <c r="N19" s="15" t="s">
        <v>59</v>
      </c>
      <c r="O19" s="22" t="s">
        <v>60</v>
      </c>
    </row>
    <row r="20" spans="1:15" ht="16.2" customHeight="1" x14ac:dyDescent="0.3">
      <c r="A20" s="20" t="s">
        <v>61</v>
      </c>
      <c r="B20" s="6" t="s">
        <v>62</v>
      </c>
      <c r="C20" s="6"/>
      <c r="D20" s="16">
        <v>36</v>
      </c>
      <c r="E20" s="17">
        <v>45290</v>
      </c>
      <c r="F20" s="16">
        <v>448406695</v>
      </c>
      <c r="G20" s="16">
        <v>12455742</v>
      </c>
      <c r="H20" s="16">
        <v>323849292</v>
      </c>
      <c r="I20" s="16">
        <v>124557403</v>
      </c>
      <c r="J20" s="15" t="s">
        <v>28</v>
      </c>
      <c r="K20" s="15" t="s">
        <v>18</v>
      </c>
      <c r="L20" s="6"/>
      <c r="M20" s="6"/>
      <c r="N20" s="15" t="s">
        <v>63</v>
      </c>
      <c r="O20" s="22" t="s">
        <v>25</v>
      </c>
    </row>
    <row r="21" spans="1:15" ht="16.2" customHeight="1" x14ac:dyDescent="0.3">
      <c r="A21" s="20" t="s">
        <v>64</v>
      </c>
      <c r="B21" s="6" t="s">
        <v>65</v>
      </c>
      <c r="C21" s="6"/>
      <c r="D21" s="16">
        <v>12</v>
      </c>
      <c r="E21" s="17">
        <v>45297</v>
      </c>
      <c r="F21" s="16">
        <v>53300000</v>
      </c>
      <c r="G21" s="16">
        <v>0</v>
      </c>
      <c r="H21" s="16">
        <v>53300000</v>
      </c>
      <c r="I21" s="16">
        <v>0</v>
      </c>
      <c r="J21" s="15" t="s">
        <v>28</v>
      </c>
      <c r="K21" s="15" t="s">
        <v>18</v>
      </c>
      <c r="L21" s="6"/>
      <c r="M21" s="6"/>
      <c r="N21" s="15" t="s">
        <v>24</v>
      </c>
      <c r="O21" s="22" t="s">
        <v>25</v>
      </c>
    </row>
    <row r="22" spans="1:15" ht="30" customHeight="1" x14ac:dyDescent="0.3">
      <c r="A22" s="20" t="s">
        <v>66</v>
      </c>
      <c r="B22" s="6" t="s">
        <v>67</v>
      </c>
      <c r="C22" s="6"/>
      <c r="D22" s="16">
        <v>36</v>
      </c>
      <c r="E22" s="17">
        <v>45293</v>
      </c>
      <c r="F22" s="16">
        <v>88000000</v>
      </c>
      <c r="G22" s="16">
        <v>2444444</v>
      </c>
      <c r="H22" s="16">
        <v>61111100</v>
      </c>
      <c r="I22" s="16">
        <v>26888900</v>
      </c>
      <c r="J22" s="15" t="s">
        <v>23</v>
      </c>
      <c r="K22" s="15" t="s">
        <v>18</v>
      </c>
      <c r="L22" s="6"/>
      <c r="M22" s="6"/>
      <c r="N22" s="15" t="s">
        <v>68</v>
      </c>
      <c r="O22" s="22" t="s">
        <v>25</v>
      </c>
    </row>
    <row r="23" spans="1:15" ht="16.2" customHeight="1" x14ac:dyDescent="0.3">
      <c r="A23" s="20" t="s">
        <v>69</v>
      </c>
      <c r="B23" s="6" t="s">
        <v>70</v>
      </c>
      <c r="C23" s="6"/>
      <c r="D23" s="16">
        <v>36</v>
      </c>
      <c r="E23" s="17">
        <v>45371</v>
      </c>
      <c r="F23" s="16">
        <v>194599637</v>
      </c>
      <c r="G23" s="16">
        <v>5405545</v>
      </c>
      <c r="H23" s="16">
        <v>124327535</v>
      </c>
      <c r="I23" s="16">
        <v>70272102</v>
      </c>
      <c r="J23" s="15" t="s">
        <v>23</v>
      </c>
      <c r="K23" s="15" t="s">
        <v>18</v>
      </c>
      <c r="L23" s="6"/>
      <c r="M23" s="6"/>
      <c r="N23" s="15" t="s">
        <v>63</v>
      </c>
      <c r="O23" s="22" t="s">
        <v>25</v>
      </c>
    </row>
    <row r="24" spans="1:15" ht="16.2" customHeight="1" x14ac:dyDescent="0.3">
      <c r="A24" s="20" t="s">
        <v>71</v>
      </c>
      <c r="B24" s="6" t="s">
        <v>72</v>
      </c>
      <c r="C24" s="6"/>
      <c r="D24" s="16">
        <v>12</v>
      </c>
      <c r="E24" s="17">
        <v>45383</v>
      </c>
      <c r="F24" s="16">
        <v>29160000</v>
      </c>
      <c r="G24" s="16">
        <v>0</v>
      </c>
      <c r="H24" s="16">
        <v>29160000</v>
      </c>
      <c r="I24" s="16">
        <v>0</v>
      </c>
      <c r="J24" s="15" t="s">
        <v>28</v>
      </c>
      <c r="K24" s="15" t="s">
        <v>18</v>
      </c>
      <c r="L24" s="6"/>
      <c r="M24" s="6"/>
      <c r="N24" s="15" t="s">
        <v>63</v>
      </c>
      <c r="O24" s="22" t="s">
        <v>25</v>
      </c>
    </row>
    <row r="25" spans="1:15" ht="30" customHeight="1" x14ac:dyDescent="0.3">
      <c r="A25" s="20" t="s">
        <v>73</v>
      </c>
      <c r="B25" s="6" t="s">
        <v>74</v>
      </c>
      <c r="C25" s="6"/>
      <c r="D25" s="16">
        <v>12</v>
      </c>
      <c r="E25" s="17">
        <v>45383</v>
      </c>
      <c r="F25" s="16">
        <v>44652000</v>
      </c>
      <c r="G25" s="16">
        <v>0</v>
      </c>
      <c r="H25" s="16">
        <v>44652000</v>
      </c>
      <c r="I25" s="16">
        <v>0</v>
      </c>
      <c r="J25" s="15" t="s">
        <v>23</v>
      </c>
      <c r="K25" s="15" t="s">
        <v>18</v>
      </c>
      <c r="L25" s="6"/>
      <c r="M25" s="6"/>
      <c r="N25" s="15" t="s">
        <v>75</v>
      </c>
      <c r="O25" s="22" t="s">
        <v>76</v>
      </c>
    </row>
    <row r="26" spans="1:15" ht="16.2" customHeight="1" x14ac:dyDescent="0.3">
      <c r="A26" s="20" t="s">
        <v>77</v>
      </c>
      <c r="B26" s="6" t="s">
        <v>78</v>
      </c>
      <c r="C26" s="6"/>
      <c r="D26" s="16">
        <v>36</v>
      </c>
      <c r="E26" s="17">
        <v>45383</v>
      </c>
      <c r="F26" s="16">
        <v>165004000</v>
      </c>
      <c r="G26" s="16">
        <v>4583444</v>
      </c>
      <c r="H26" s="16">
        <v>100835768</v>
      </c>
      <c r="I26" s="16">
        <v>64168232</v>
      </c>
      <c r="J26" s="15" t="s">
        <v>23</v>
      </c>
      <c r="K26" s="15" t="s">
        <v>18</v>
      </c>
      <c r="L26" s="6"/>
      <c r="M26" s="6"/>
      <c r="N26" s="15" t="s">
        <v>79</v>
      </c>
      <c r="O26" s="22" t="s">
        <v>25</v>
      </c>
    </row>
    <row r="27" spans="1:15" ht="16.2" customHeight="1" x14ac:dyDescent="0.3">
      <c r="A27" s="20" t="s">
        <v>80</v>
      </c>
      <c r="B27" s="6" t="s">
        <v>78</v>
      </c>
      <c r="C27" s="6"/>
      <c r="D27" s="16">
        <v>36</v>
      </c>
      <c r="E27" s="17">
        <v>45383</v>
      </c>
      <c r="F27" s="16">
        <v>417033050</v>
      </c>
      <c r="G27" s="16">
        <v>11584251</v>
      </c>
      <c r="H27" s="16">
        <v>254853522</v>
      </c>
      <c r="I27" s="16">
        <v>162179528</v>
      </c>
      <c r="J27" s="15" t="s">
        <v>23</v>
      </c>
      <c r="K27" s="15" t="s">
        <v>18</v>
      </c>
      <c r="L27" s="6"/>
      <c r="M27" s="6"/>
      <c r="N27" s="15" t="s">
        <v>79</v>
      </c>
      <c r="O27" s="22" t="s">
        <v>25</v>
      </c>
    </row>
    <row r="28" spans="1:15" ht="16.2" customHeight="1" x14ac:dyDescent="0.3">
      <c r="A28" s="20" t="s">
        <v>81</v>
      </c>
      <c r="B28" s="6" t="s">
        <v>35</v>
      </c>
      <c r="C28" s="6"/>
      <c r="D28" s="16">
        <v>12</v>
      </c>
      <c r="E28" s="17">
        <v>45427</v>
      </c>
      <c r="F28" s="16">
        <v>242050000</v>
      </c>
      <c r="G28" s="16">
        <v>0</v>
      </c>
      <c r="H28" s="16">
        <v>242050000</v>
      </c>
      <c r="I28" s="16">
        <v>0</v>
      </c>
      <c r="J28" s="15" t="s">
        <v>23</v>
      </c>
      <c r="K28" s="15" t="s">
        <v>18</v>
      </c>
      <c r="L28" s="6"/>
      <c r="M28" s="6"/>
      <c r="N28" s="15" t="s">
        <v>68</v>
      </c>
      <c r="O28" s="22" t="s">
        <v>25</v>
      </c>
    </row>
    <row r="29" spans="1:15" ht="30" customHeight="1" x14ac:dyDescent="0.3">
      <c r="A29" s="20" t="s">
        <v>82</v>
      </c>
      <c r="B29" s="6" t="s">
        <v>83</v>
      </c>
      <c r="C29" s="6"/>
      <c r="D29" s="16">
        <v>12</v>
      </c>
      <c r="E29" s="17">
        <v>45444</v>
      </c>
      <c r="F29" s="16">
        <v>47550000</v>
      </c>
      <c r="G29" s="16">
        <v>0</v>
      </c>
      <c r="H29" s="16">
        <v>47550000</v>
      </c>
      <c r="I29" s="16">
        <v>0</v>
      </c>
      <c r="J29" s="15" t="s">
        <v>23</v>
      </c>
      <c r="K29" s="15" t="s">
        <v>18</v>
      </c>
      <c r="L29" s="6"/>
      <c r="M29" s="6"/>
      <c r="N29" s="15" t="s">
        <v>32</v>
      </c>
      <c r="O29" s="22" t="s">
        <v>33</v>
      </c>
    </row>
    <row r="30" spans="1:15" ht="30" customHeight="1" x14ac:dyDescent="0.3">
      <c r="A30" s="20" t="s">
        <v>84</v>
      </c>
      <c r="B30" s="6" t="s">
        <v>85</v>
      </c>
      <c r="C30" s="6"/>
      <c r="D30" s="16">
        <v>36</v>
      </c>
      <c r="E30" s="17">
        <v>45488</v>
      </c>
      <c r="F30" s="16">
        <v>105433431</v>
      </c>
      <c r="G30" s="16">
        <v>2928706</v>
      </c>
      <c r="H30" s="16">
        <v>55645414</v>
      </c>
      <c r="I30" s="16">
        <v>49788017</v>
      </c>
      <c r="J30" s="15" t="s">
        <v>23</v>
      </c>
      <c r="K30" s="15" t="s">
        <v>18</v>
      </c>
      <c r="L30" s="6"/>
      <c r="M30" s="6"/>
      <c r="N30" s="15" t="s">
        <v>79</v>
      </c>
      <c r="O30" s="22" t="s">
        <v>25</v>
      </c>
    </row>
    <row r="31" spans="1:15" ht="30" customHeight="1" x14ac:dyDescent="0.3">
      <c r="A31" s="20" t="s">
        <v>86</v>
      </c>
      <c r="B31" s="6" t="s">
        <v>87</v>
      </c>
      <c r="C31" s="6"/>
      <c r="D31" s="16">
        <v>60</v>
      </c>
      <c r="E31" s="17">
        <v>45491</v>
      </c>
      <c r="F31" s="16">
        <v>14800000</v>
      </c>
      <c r="G31" s="16">
        <v>246667</v>
      </c>
      <c r="H31" s="16">
        <v>4686673</v>
      </c>
      <c r="I31" s="16">
        <v>10113327</v>
      </c>
      <c r="J31" s="15" t="s">
        <v>28</v>
      </c>
      <c r="K31" s="15" t="s">
        <v>18</v>
      </c>
      <c r="L31" s="6"/>
      <c r="M31" s="6"/>
      <c r="N31" s="15" t="s">
        <v>44</v>
      </c>
      <c r="O31" s="22" t="s">
        <v>88</v>
      </c>
    </row>
    <row r="32" spans="1:15" ht="30" customHeight="1" x14ac:dyDescent="0.3">
      <c r="A32" s="20" t="s">
        <v>89</v>
      </c>
      <c r="B32" s="6" t="s">
        <v>90</v>
      </c>
      <c r="C32" s="6"/>
      <c r="D32" s="16">
        <v>36</v>
      </c>
      <c r="E32" s="17">
        <v>45505</v>
      </c>
      <c r="F32" s="16">
        <v>119796484</v>
      </c>
      <c r="G32" s="16">
        <v>3327680</v>
      </c>
      <c r="H32" s="16">
        <v>59898240</v>
      </c>
      <c r="I32" s="16">
        <v>59898244</v>
      </c>
      <c r="J32" s="15" t="s">
        <v>23</v>
      </c>
      <c r="K32" s="15" t="s">
        <v>18</v>
      </c>
      <c r="L32" s="6"/>
      <c r="M32" s="6"/>
      <c r="N32" s="15" t="s">
        <v>79</v>
      </c>
      <c r="O32" s="22" t="s">
        <v>25</v>
      </c>
    </row>
    <row r="33" spans="1:15" ht="30" customHeight="1" x14ac:dyDescent="0.3">
      <c r="A33" s="20" t="s">
        <v>91</v>
      </c>
      <c r="B33" s="6" t="s">
        <v>92</v>
      </c>
      <c r="C33" s="6"/>
      <c r="D33" s="16">
        <v>24</v>
      </c>
      <c r="E33" s="17">
        <v>45536</v>
      </c>
      <c r="F33" s="16">
        <v>82000000</v>
      </c>
      <c r="G33" s="16">
        <v>3416667</v>
      </c>
      <c r="H33" s="16">
        <v>58083339</v>
      </c>
      <c r="I33" s="16">
        <v>23916661</v>
      </c>
      <c r="J33" s="15" t="s">
        <v>23</v>
      </c>
      <c r="K33" s="15" t="s">
        <v>18</v>
      </c>
      <c r="L33" s="6"/>
      <c r="M33" s="6"/>
      <c r="N33" s="15" t="s">
        <v>68</v>
      </c>
      <c r="O33" s="22" t="s">
        <v>25</v>
      </c>
    </row>
    <row r="34" spans="1:15" ht="16.2" customHeight="1" x14ac:dyDescent="0.3">
      <c r="A34" s="20" t="s">
        <v>93</v>
      </c>
      <c r="B34" s="6" t="s">
        <v>35</v>
      </c>
      <c r="C34" s="6"/>
      <c r="D34" s="16">
        <v>12</v>
      </c>
      <c r="E34" s="17">
        <v>45554</v>
      </c>
      <c r="F34" s="16">
        <v>12500000</v>
      </c>
      <c r="G34" s="16">
        <v>0</v>
      </c>
      <c r="H34" s="16">
        <v>12500000</v>
      </c>
      <c r="I34" s="16">
        <v>0</v>
      </c>
      <c r="J34" s="15" t="s">
        <v>23</v>
      </c>
      <c r="K34" s="15" t="s">
        <v>18</v>
      </c>
      <c r="L34" s="6"/>
      <c r="M34" s="6"/>
      <c r="N34" s="15" t="s">
        <v>68</v>
      </c>
      <c r="O34" s="22" t="s">
        <v>25</v>
      </c>
    </row>
    <row r="35" spans="1:15" ht="30" customHeight="1" x14ac:dyDescent="0.3">
      <c r="A35" s="20" t="s">
        <v>94</v>
      </c>
      <c r="B35" s="6" t="s">
        <v>95</v>
      </c>
      <c r="C35" s="6"/>
      <c r="D35" s="16">
        <v>36</v>
      </c>
      <c r="E35" s="17">
        <v>45587</v>
      </c>
      <c r="F35" s="16">
        <v>39326808</v>
      </c>
      <c r="G35" s="16">
        <v>1092411</v>
      </c>
      <c r="H35" s="16">
        <v>17478576</v>
      </c>
      <c r="I35" s="16">
        <v>21848232</v>
      </c>
      <c r="J35" s="15" t="s">
        <v>23</v>
      </c>
      <c r="K35" s="15" t="s">
        <v>18</v>
      </c>
      <c r="L35" s="6"/>
      <c r="M35" s="6"/>
      <c r="N35" s="15" t="s">
        <v>79</v>
      </c>
      <c r="O35" s="22" t="s">
        <v>25</v>
      </c>
    </row>
    <row r="36" spans="1:15" ht="16.2" customHeight="1" x14ac:dyDescent="0.3">
      <c r="A36" s="20" t="s">
        <v>96</v>
      </c>
      <c r="B36" s="6" t="s">
        <v>97</v>
      </c>
      <c r="C36" s="6"/>
      <c r="D36" s="16">
        <v>12</v>
      </c>
      <c r="E36" s="17">
        <v>45609</v>
      </c>
      <c r="F36" s="16">
        <v>2550000</v>
      </c>
      <c r="G36" s="16">
        <v>0</v>
      </c>
      <c r="H36" s="16">
        <v>2550000</v>
      </c>
      <c r="I36" s="16">
        <v>0</v>
      </c>
      <c r="J36" s="15" t="s">
        <v>23</v>
      </c>
      <c r="K36" s="15" t="s">
        <v>18</v>
      </c>
      <c r="L36" s="6"/>
      <c r="M36" s="6"/>
      <c r="N36" s="15" t="s">
        <v>98</v>
      </c>
      <c r="O36" s="22" t="s">
        <v>99</v>
      </c>
    </row>
    <row r="37" spans="1:15" ht="30" customHeight="1" x14ac:dyDescent="0.3">
      <c r="A37" s="20" t="s">
        <v>100</v>
      </c>
      <c r="B37" s="6" t="s">
        <v>101</v>
      </c>
      <c r="C37" s="6"/>
      <c r="D37" s="16">
        <v>12</v>
      </c>
      <c r="E37" s="17">
        <v>45614</v>
      </c>
      <c r="F37" s="16">
        <v>150000000</v>
      </c>
      <c r="G37" s="16">
        <v>0</v>
      </c>
      <c r="H37" s="16">
        <v>150000000</v>
      </c>
      <c r="I37" s="16">
        <v>0</v>
      </c>
      <c r="J37" s="15" t="s">
        <v>23</v>
      </c>
      <c r="K37" s="15" t="s">
        <v>18</v>
      </c>
      <c r="L37" s="6"/>
      <c r="M37" s="6"/>
      <c r="N37" s="15" t="s">
        <v>102</v>
      </c>
      <c r="O37" s="22" t="s">
        <v>103</v>
      </c>
    </row>
    <row r="38" spans="1:15" ht="16.2" customHeight="1" x14ac:dyDescent="0.3">
      <c r="A38" s="20" t="s">
        <v>104</v>
      </c>
      <c r="B38" s="6" t="s">
        <v>105</v>
      </c>
      <c r="C38" s="6"/>
      <c r="D38" s="16">
        <v>12</v>
      </c>
      <c r="E38" s="17">
        <v>45621</v>
      </c>
      <c r="F38" s="16">
        <v>1490000</v>
      </c>
      <c r="G38" s="16">
        <v>0</v>
      </c>
      <c r="H38" s="16">
        <v>1490000</v>
      </c>
      <c r="I38" s="16">
        <v>0</v>
      </c>
      <c r="J38" s="15" t="s">
        <v>28</v>
      </c>
      <c r="K38" s="15" t="s">
        <v>18</v>
      </c>
      <c r="L38" s="6"/>
      <c r="M38" s="6"/>
      <c r="N38" s="15" t="s">
        <v>98</v>
      </c>
      <c r="O38" s="22" t="s">
        <v>99</v>
      </c>
    </row>
    <row r="39" spans="1:15" ht="16.2" customHeight="1" x14ac:dyDescent="0.3">
      <c r="A39" s="20" t="s">
        <v>106</v>
      </c>
      <c r="B39" s="6" t="s">
        <v>107</v>
      </c>
      <c r="C39" s="6"/>
      <c r="D39" s="16">
        <v>12</v>
      </c>
      <c r="E39" s="17">
        <v>45624</v>
      </c>
      <c r="F39" s="16">
        <v>1399000</v>
      </c>
      <c r="G39" s="16">
        <v>0</v>
      </c>
      <c r="H39" s="16">
        <v>1399000</v>
      </c>
      <c r="I39" s="16">
        <v>0</v>
      </c>
      <c r="J39" s="15" t="s">
        <v>28</v>
      </c>
      <c r="K39" s="15" t="s">
        <v>18</v>
      </c>
      <c r="L39" s="6"/>
      <c r="M39" s="6"/>
      <c r="N39" s="15" t="s">
        <v>98</v>
      </c>
      <c r="O39" s="22" t="s">
        <v>99</v>
      </c>
    </row>
    <row r="40" spans="1:15" ht="30" customHeight="1" x14ac:dyDescent="0.3">
      <c r="A40" s="20" t="s">
        <v>108</v>
      </c>
      <c r="B40" s="6" t="s">
        <v>109</v>
      </c>
      <c r="C40" s="6"/>
      <c r="D40" s="16">
        <v>12</v>
      </c>
      <c r="E40" s="17">
        <v>45627</v>
      </c>
      <c r="F40" s="16">
        <v>11250000</v>
      </c>
      <c r="G40" s="16">
        <v>0</v>
      </c>
      <c r="H40" s="16">
        <v>11250000</v>
      </c>
      <c r="I40" s="16">
        <v>0</v>
      </c>
      <c r="J40" s="15" t="s">
        <v>23</v>
      </c>
      <c r="K40" s="15" t="s">
        <v>18</v>
      </c>
      <c r="L40" s="6"/>
      <c r="M40" s="6"/>
      <c r="N40" s="15" t="s">
        <v>110</v>
      </c>
      <c r="O40" s="22" t="s">
        <v>111</v>
      </c>
    </row>
    <row r="41" spans="1:15" ht="30" customHeight="1" x14ac:dyDescent="0.3">
      <c r="A41" s="20" t="s">
        <v>112</v>
      </c>
      <c r="B41" s="6" t="s">
        <v>113</v>
      </c>
      <c r="C41" s="6"/>
      <c r="D41" s="16">
        <v>12</v>
      </c>
      <c r="E41" s="17">
        <v>45636</v>
      </c>
      <c r="F41" s="16">
        <v>79320000</v>
      </c>
      <c r="G41" s="16">
        <v>0</v>
      </c>
      <c r="H41" s="16">
        <v>79320000</v>
      </c>
      <c r="I41" s="16">
        <v>0</v>
      </c>
      <c r="J41" s="15" t="s">
        <v>23</v>
      </c>
      <c r="K41" s="15" t="s">
        <v>18</v>
      </c>
      <c r="L41" s="6"/>
      <c r="M41" s="6"/>
      <c r="N41" s="15" t="s">
        <v>68</v>
      </c>
      <c r="O41" s="22" t="s">
        <v>25</v>
      </c>
    </row>
    <row r="42" spans="1:15" ht="56.4" customHeight="1" x14ac:dyDescent="0.3">
      <c r="A42" s="20" t="s">
        <v>114</v>
      </c>
      <c r="B42" s="6" t="s">
        <v>115</v>
      </c>
      <c r="C42" s="6"/>
      <c r="D42" s="16">
        <v>12</v>
      </c>
      <c r="E42" s="17">
        <v>45658</v>
      </c>
      <c r="F42" s="16">
        <v>162900000</v>
      </c>
      <c r="G42" s="16">
        <v>0</v>
      </c>
      <c r="H42" s="16">
        <v>162900000</v>
      </c>
      <c r="I42" s="16">
        <v>0</v>
      </c>
      <c r="J42" s="15" t="s">
        <v>23</v>
      </c>
      <c r="K42" s="15" t="s">
        <v>18</v>
      </c>
      <c r="L42" s="6"/>
      <c r="M42" s="6"/>
      <c r="N42" s="15" t="s">
        <v>116</v>
      </c>
      <c r="O42" s="22" t="s">
        <v>117</v>
      </c>
    </row>
    <row r="43" spans="1:15" ht="16.2" customHeight="1" x14ac:dyDescent="0.3">
      <c r="A43" s="20" t="s">
        <v>118</v>
      </c>
      <c r="B43" s="6" t="s">
        <v>119</v>
      </c>
      <c r="C43" s="6"/>
      <c r="D43" s="16">
        <v>12</v>
      </c>
      <c r="E43" s="17">
        <v>45740</v>
      </c>
      <c r="F43" s="16">
        <v>16790000</v>
      </c>
      <c r="G43" s="16">
        <v>1399167</v>
      </c>
      <c r="H43" s="16">
        <v>15390836</v>
      </c>
      <c r="I43" s="16">
        <v>1399164</v>
      </c>
      <c r="J43" s="15" t="s">
        <v>23</v>
      </c>
      <c r="K43" s="15" t="s">
        <v>18</v>
      </c>
      <c r="L43" s="6"/>
      <c r="M43" s="6"/>
      <c r="N43" s="15" t="s">
        <v>120</v>
      </c>
      <c r="O43" s="22" t="s">
        <v>121</v>
      </c>
    </row>
    <row r="44" spans="1:15" ht="30" customHeight="1" x14ac:dyDescent="0.3">
      <c r="A44" s="20" t="s">
        <v>122</v>
      </c>
      <c r="B44" s="6" t="s">
        <v>123</v>
      </c>
      <c r="C44" s="6"/>
      <c r="D44" s="16">
        <v>11</v>
      </c>
      <c r="E44" s="17">
        <v>45658</v>
      </c>
      <c r="F44" s="16">
        <v>204620430</v>
      </c>
      <c r="G44" s="16">
        <v>0</v>
      </c>
      <c r="H44" s="16">
        <v>204620430</v>
      </c>
      <c r="I44" s="16">
        <v>0</v>
      </c>
      <c r="J44" s="15" t="s">
        <v>49</v>
      </c>
      <c r="K44" s="15" t="s">
        <v>18</v>
      </c>
      <c r="L44" s="6"/>
      <c r="M44" s="6"/>
      <c r="N44" s="15" t="s">
        <v>79</v>
      </c>
      <c r="O44" s="22" t="s">
        <v>124</v>
      </c>
    </row>
    <row r="45" spans="1:15" ht="30" customHeight="1" x14ac:dyDescent="0.3">
      <c r="A45" s="20" t="s">
        <v>125</v>
      </c>
      <c r="B45" s="6" t="s">
        <v>126</v>
      </c>
      <c r="C45" s="6"/>
      <c r="D45" s="16">
        <v>12</v>
      </c>
      <c r="E45" s="17">
        <v>45772</v>
      </c>
      <c r="F45" s="16">
        <v>49525920</v>
      </c>
      <c r="G45" s="16">
        <v>4127160</v>
      </c>
      <c r="H45" s="16">
        <v>41271600</v>
      </c>
      <c r="I45" s="16">
        <v>8254320</v>
      </c>
      <c r="J45" s="15" t="s">
        <v>23</v>
      </c>
      <c r="K45" s="15" t="s">
        <v>18</v>
      </c>
      <c r="L45" s="6"/>
      <c r="M45" s="6"/>
      <c r="N45" s="15" t="s">
        <v>75</v>
      </c>
      <c r="O45" s="22" t="s">
        <v>127</v>
      </c>
    </row>
    <row r="46" spans="1:15" ht="16.2" customHeight="1" x14ac:dyDescent="0.3">
      <c r="A46" s="20" t="s">
        <v>128</v>
      </c>
      <c r="B46" s="6" t="s">
        <v>129</v>
      </c>
      <c r="C46" s="6"/>
      <c r="D46" s="16">
        <v>60</v>
      </c>
      <c r="E46" s="17">
        <v>45775</v>
      </c>
      <c r="F46" s="16">
        <v>363000000</v>
      </c>
      <c r="G46" s="16">
        <v>6050000</v>
      </c>
      <c r="H46" s="16">
        <v>60500000</v>
      </c>
      <c r="I46" s="16">
        <v>302500000</v>
      </c>
      <c r="J46" s="15" t="s">
        <v>17</v>
      </c>
      <c r="K46" s="15" t="s">
        <v>18</v>
      </c>
      <c r="L46" s="6"/>
      <c r="M46" s="6"/>
      <c r="N46" s="15" t="s">
        <v>44</v>
      </c>
      <c r="O46" s="22" t="s">
        <v>88</v>
      </c>
    </row>
    <row r="47" spans="1:15" ht="16.2" customHeight="1" x14ac:dyDescent="0.3">
      <c r="A47" s="20" t="s">
        <v>130</v>
      </c>
      <c r="B47" s="6" t="s">
        <v>131</v>
      </c>
      <c r="C47" s="6"/>
      <c r="D47" s="16">
        <v>12</v>
      </c>
      <c r="E47" s="17">
        <v>45807</v>
      </c>
      <c r="F47" s="16">
        <v>37156366</v>
      </c>
      <c r="G47" s="16">
        <v>3096364</v>
      </c>
      <c r="H47" s="16">
        <v>27867276</v>
      </c>
      <c r="I47" s="16">
        <v>9289090</v>
      </c>
      <c r="J47" s="15" t="s">
        <v>31</v>
      </c>
      <c r="K47" s="15" t="s">
        <v>18</v>
      </c>
      <c r="L47" s="6"/>
      <c r="M47" s="6"/>
      <c r="N47" s="15" t="s">
        <v>44</v>
      </c>
      <c r="O47" s="22" t="s">
        <v>88</v>
      </c>
    </row>
    <row r="48" spans="1:15" ht="16.2" customHeight="1" x14ac:dyDescent="0.3">
      <c r="A48" s="20" t="s">
        <v>132</v>
      </c>
      <c r="B48" s="6" t="s">
        <v>133</v>
      </c>
      <c r="C48" s="6"/>
      <c r="D48" s="16">
        <v>36</v>
      </c>
      <c r="E48" s="17">
        <v>45817</v>
      </c>
      <c r="F48" s="16">
        <v>19635000</v>
      </c>
      <c r="G48" s="16">
        <v>545417</v>
      </c>
      <c r="H48" s="16">
        <v>4363336</v>
      </c>
      <c r="I48" s="16">
        <v>15271664</v>
      </c>
      <c r="J48" s="15" t="s">
        <v>28</v>
      </c>
      <c r="K48" s="15" t="s">
        <v>18</v>
      </c>
      <c r="L48" s="6"/>
      <c r="M48" s="6"/>
      <c r="N48" s="15" t="s">
        <v>102</v>
      </c>
      <c r="O48" s="22" t="s">
        <v>103</v>
      </c>
    </row>
    <row r="49" spans="1:15" ht="30" customHeight="1" x14ac:dyDescent="0.3">
      <c r="A49" s="20" t="s">
        <v>134</v>
      </c>
      <c r="B49" s="6" t="s">
        <v>135</v>
      </c>
      <c r="C49" s="6"/>
      <c r="D49" s="16">
        <v>36</v>
      </c>
      <c r="E49" s="17">
        <v>45813</v>
      </c>
      <c r="F49" s="16">
        <v>46216800</v>
      </c>
      <c r="G49" s="16">
        <v>1283800</v>
      </c>
      <c r="H49" s="16">
        <v>10270400</v>
      </c>
      <c r="I49" s="16">
        <v>35946400</v>
      </c>
      <c r="J49" s="15" t="s">
        <v>17</v>
      </c>
      <c r="K49" s="15" t="s">
        <v>18</v>
      </c>
      <c r="L49" s="6"/>
      <c r="M49" s="6"/>
      <c r="N49" s="15" t="s">
        <v>44</v>
      </c>
      <c r="O49" s="22" t="s">
        <v>88</v>
      </c>
    </row>
    <row r="50" spans="1:15" ht="16.2" customHeight="1" x14ac:dyDescent="0.3">
      <c r="A50" s="20" t="s">
        <v>136</v>
      </c>
      <c r="B50" s="6" t="s">
        <v>137</v>
      </c>
      <c r="C50" s="6"/>
      <c r="D50" s="16">
        <v>36</v>
      </c>
      <c r="E50" s="17">
        <v>45831</v>
      </c>
      <c r="F50" s="16">
        <v>85000000</v>
      </c>
      <c r="G50" s="16">
        <v>2361111</v>
      </c>
      <c r="H50" s="16">
        <v>18888888</v>
      </c>
      <c r="I50" s="16">
        <v>66111112</v>
      </c>
      <c r="J50" s="15" t="s">
        <v>23</v>
      </c>
      <c r="K50" s="15" t="s">
        <v>18</v>
      </c>
      <c r="L50" s="6"/>
      <c r="M50" s="6"/>
      <c r="N50" s="15" t="s">
        <v>138</v>
      </c>
      <c r="O50" s="22" t="s">
        <v>139</v>
      </c>
    </row>
    <row r="51" spans="1:15" ht="30" customHeight="1" x14ac:dyDescent="0.3">
      <c r="A51" s="20" t="s">
        <v>140</v>
      </c>
      <c r="B51" s="6" t="s">
        <v>141</v>
      </c>
      <c r="C51" s="6"/>
      <c r="D51" s="16">
        <v>36</v>
      </c>
      <c r="E51" s="17">
        <v>45868</v>
      </c>
      <c r="F51" s="16">
        <v>195365000</v>
      </c>
      <c r="G51" s="16">
        <v>5426806</v>
      </c>
      <c r="H51" s="16">
        <v>37987642</v>
      </c>
      <c r="I51" s="16">
        <v>157377358</v>
      </c>
      <c r="J51" s="15" t="s">
        <v>23</v>
      </c>
      <c r="K51" s="15" t="s">
        <v>18</v>
      </c>
      <c r="L51" s="6"/>
      <c r="M51" s="6"/>
      <c r="N51" s="15" t="s">
        <v>79</v>
      </c>
      <c r="O51" s="22" t="s">
        <v>124</v>
      </c>
    </row>
    <row r="52" spans="1:15" ht="30" customHeight="1" x14ac:dyDescent="0.3">
      <c r="A52" s="20" t="s">
        <v>142</v>
      </c>
      <c r="B52" s="6" t="s">
        <v>143</v>
      </c>
      <c r="C52" s="6"/>
      <c r="D52" s="16">
        <v>12</v>
      </c>
      <c r="E52" s="17">
        <v>45841</v>
      </c>
      <c r="F52" s="16">
        <v>20000000</v>
      </c>
      <c r="G52" s="16">
        <v>1666667</v>
      </c>
      <c r="H52" s="16">
        <v>11666669</v>
      </c>
      <c r="I52" s="16">
        <v>8333331</v>
      </c>
      <c r="J52" s="15" t="s">
        <v>23</v>
      </c>
      <c r="K52" s="15" t="s">
        <v>18</v>
      </c>
      <c r="L52" s="6"/>
      <c r="M52" s="6"/>
      <c r="N52" s="15" t="s">
        <v>102</v>
      </c>
      <c r="O52" s="22" t="s">
        <v>103</v>
      </c>
    </row>
    <row r="53" spans="1:15" ht="30" customHeight="1" x14ac:dyDescent="0.3">
      <c r="A53" s="20" t="s">
        <v>144</v>
      </c>
      <c r="B53" s="6" t="s">
        <v>145</v>
      </c>
      <c r="C53" s="6"/>
      <c r="D53" s="16">
        <v>12</v>
      </c>
      <c r="E53" s="17">
        <v>45841</v>
      </c>
      <c r="F53" s="16">
        <v>20000000</v>
      </c>
      <c r="G53" s="16">
        <v>1666667</v>
      </c>
      <c r="H53" s="16">
        <v>11666669</v>
      </c>
      <c r="I53" s="16">
        <v>8333331</v>
      </c>
      <c r="J53" s="15" t="s">
        <v>23</v>
      </c>
      <c r="K53" s="15" t="s">
        <v>18</v>
      </c>
      <c r="L53" s="6"/>
      <c r="M53" s="6"/>
      <c r="N53" s="15" t="s">
        <v>102</v>
      </c>
      <c r="O53" s="22" t="s">
        <v>103</v>
      </c>
    </row>
    <row r="54" spans="1:15" ht="30" customHeight="1" x14ac:dyDescent="0.3">
      <c r="A54" s="20" t="s">
        <v>146</v>
      </c>
      <c r="B54" s="6" t="s">
        <v>147</v>
      </c>
      <c r="C54" s="6"/>
      <c r="D54" s="16">
        <v>12</v>
      </c>
      <c r="E54" s="17">
        <v>45896</v>
      </c>
      <c r="F54" s="16">
        <v>388000000</v>
      </c>
      <c r="G54" s="16">
        <v>32333334</v>
      </c>
      <c r="H54" s="16">
        <v>193999999</v>
      </c>
      <c r="I54" s="16">
        <v>194000001</v>
      </c>
      <c r="J54" s="15" t="s">
        <v>23</v>
      </c>
      <c r="K54" s="15" t="s">
        <v>18</v>
      </c>
      <c r="L54" s="6"/>
      <c r="M54" s="6"/>
      <c r="N54" s="15" t="s">
        <v>148</v>
      </c>
      <c r="O54" s="22" t="s">
        <v>149</v>
      </c>
    </row>
    <row r="55" spans="1:15" ht="16.2" customHeight="1" x14ac:dyDescent="0.3">
      <c r="A55" s="20" t="s">
        <v>150</v>
      </c>
      <c r="B55" s="6" t="s">
        <v>151</v>
      </c>
      <c r="C55" s="6"/>
      <c r="D55" s="16">
        <v>12</v>
      </c>
      <c r="E55" s="17">
        <v>45896</v>
      </c>
      <c r="F55" s="16">
        <v>102140000</v>
      </c>
      <c r="G55" s="16">
        <v>8511667</v>
      </c>
      <c r="H55" s="16">
        <v>51070002</v>
      </c>
      <c r="I55" s="16">
        <v>51069998</v>
      </c>
      <c r="J55" s="15" t="s">
        <v>23</v>
      </c>
      <c r="K55" s="15" t="s">
        <v>18</v>
      </c>
      <c r="L55" s="6"/>
      <c r="M55" s="6"/>
      <c r="N55" s="15" t="s">
        <v>138</v>
      </c>
      <c r="O55" s="22" t="s">
        <v>139</v>
      </c>
    </row>
    <row r="56" spans="1:15" ht="16.2" customHeight="1" x14ac:dyDescent="0.3">
      <c r="A56" s="20" t="s">
        <v>152</v>
      </c>
      <c r="B56" s="6" t="s">
        <v>153</v>
      </c>
      <c r="C56" s="6"/>
      <c r="D56" s="16">
        <v>12</v>
      </c>
      <c r="E56" s="17">
        <v>45891</v>
      </c>
      <c r="F56" s="16">
        <v>300000</v>
      </c>
      <c r="G56" s="16">
        <v>25000</v>
      </c>
      <c r="H56" s="16">
        <v>150000</v>
      </c>
      <c r="I56" s="16">
        <v>150000</v>
      </c>
      <c r="J56" s="15" t="s">
        <v>23</v>
      </c>
      <c r="K56" s="15" t="s">
        <v>18</v>
      </c>
      <c r="L56" s="6"/>
      <c r="M56" s="6"/>
      <c r="N56" s="15" t="s">
        <v>63</v>
      </c>
      <c r="O56" s="22" t="s">
        <v>154</v>
      </c>
    </row>
    <row r="57" spans="1:15" ht="30" customHeight="1" x14ac:dyDescent="0.3">
      <c r="A57" s="20" t="s">
        <v>155</v>
      </c>
      <c r="B57" s="6" t="s">
        <v>156</v>
      </c>
      <c r="C57" s="6"/>
      <c r="D57" s="16">
        <v>12</v>
      </c>
      <c r="E57" s="17">
        <v>45935</v>
      </c>
      <c r="F57" s="16">
        <v>42500000</v>
      </c>
      <c r="G57" s="16">
        <v>3541667</v>
      </c>
      <c r="H57" s="16">
        <v>14166668</v>
      </c>
      <c r="I57" s="16">
        <v>28333332</v>
      </c>
      <c r="J57" s="15" t="s">
        <v>23</v>
      </c>
      <c r="K57" s="15" t="s">
        <v>18</v>
      </c>
      <c r="L57" s="6"/>
      <c r="M57" s="6"/>
      <c r="N57" s="15" t="s">
        <v>54</v>
      </c>
      <c r="O57" s="22" t="s">
        <v>157</v>
      </c>
    </row>
    <row r="58" spans="1:15" ht="30" customHeight="1" x14ac:dyDescent="0.3">
      <c r="A58" s="20" t="s">
        <v>158</v>
      </c>
      <c r="B58" s="6" t="s">
        <v>159</v>
      </c>
      <c r="C58" s="6"/>
      <c r="D58" s="16">
        <v>12</v>
      </c>
      <c r="E58" s="17">
        <v>45924</v>
      </c>
      <c r="F58" s="16">
        <v>9150000</v>
      </c>
      <c r="G58" s="16">
        <v>762500</v>
      </c>
      <c r="H58" s="16">
        <v>3812500</v>
      </c>
      <c r="I58" s="16">
        <v>5337500</v>
      </c>
      <c r="J58" s="15" t="s">
        <v>17</v>
      </c>
      <c r="K58" s="15" t="s">
        <v>18</v>
      </c>
      <c r="L58" s="6"/>
      <c r="M58" s="6"/>
      <c r="N58" s="15" t="s">
        <v>44</v>
      </c>
      <c r="O58" s="22" t="s">
        <v>88</v>
      </c>
    </row>
    <row r="59" spans="1:15" ht="16.2" customHeight="1" x14ac:dyDescent="0.3">
      <c r="A59" s="20" t="s">
        <v>160</v>
      </c>
      <c r="B59" s="6" t="s">
        <v>161</v>
      </c>
      <c r="C59" s="6"/>
      <c r="D59" s="16">
        <v>12</v>
      </c>
      <c r="E59" s="17">
        <v>45926</v>
      </c>
      <c r="F59" s="16">
        <v>168553274</v>
      </c>
      <c r="G59" s="16">
        <v>0</v>
      </c>
      <c r="H59" s="16">
        <v>0</v>
      </c>
      <c r="I59" s="16">
        <v>168553274</v>
      </c>
      <c r="J59" s="15" t="s">
        <v>17</v>
      </c>
      <c r="K59" s="15" t="s">
        <v>18</v>
      </c>
      <c r="L59" s="6"/>
      <c r="M59" s="6"/>
      <c r="N59" s="15" t="s">
        <v>44</v>
      </c>
      <c r="O59" s="22" t="s">
        <v>162</v>
      </c>
    </row>
    <row r="60" spans="1:15" ht="16.2" customHeight="1" x14ac:dyDescent="0.3">
      <c r="A60" s="20" t="s">
        <v>160</v>
      </c>
      <c r="B60" s="6" t="s">
        <v>161</v>
      </c>
      <c r="C60" s="6"/>
      <c r="D60" s="16">
        <v>12</v>
      </c>
      <c r="E60" s="17">
        <v>45926</v>
      </c>
      <c r="F60" s="16">
        <v>211772071</v>
      </c>
      <c r="G60" s="16">
        <v>31693775</v>
      </c>
      <c r="H60" s="16">
        <v>158468915</v>
      </c>
      <c r="I60" s="16">
        <v>53303156</v>
      </c>
      <c r="J60" s="15" t="s">
        <v>23</v>
      </c>
      <c r="K60" s="15" t="s">
        <v>18</v>
      </c>
      <c r="L60" s="6"/>
      <c r="M60" s="6"/>
      <c r="N60" s="15" t="s">
        <v>163</v>
      </c>
      <c r="O60" s="22" t="s">
        <v>103</v>
      </c>
    </row>
    <row r="61" spans="1:15" ht="30" customHeight="1" x14ac:dyDescent="0.3">
      <c r="A61" s="20" t="s">
        <v>164</v>
      </c>
      <c r="B61" s="6" t="s">
        <v>165</v>
      </c>
      <c r="C61" s="6"/>
      <c r="D61" s="16">
        <v>14</v>
      </c>
      <c r="E61" s="17">
        <v>45931</v>
      </c>
      <c r="F61" s="16">
        <v>9600000</v>
      </c>
      <c r="G61" s="16">
        <v>685714</v>
      </c>
      <c r="H61" s="16">
        <v>2742856</v>
      </c>
      <c r="I61" s="16">
        <v>6857144</v>
      </c>
      <c r="J61" s="15" t="s">
        <v>23</v>
      </c>
      <c r="K61" s="15" t="s">
        <v>18</v>
      </c>
      <c r="L61" s="6"/>
      <c r="M61" s="6"/>
      <c r="N61" s="15" t="s">
        <v>120</v>
      </c>
      <c r="O61" s="22" t="s">
        <v>121</v>
      </c>
    </row>
    <row r="62" spans="1:15" ht="30" customHeight="1" x14ac:dyDescent="0.3">
      <c r="A62" s="20" t="s">
        <v>166</v>
      </c>
      <c r="B62" s="6" t="s">
        <v>167</v>
      </c>
      <c r="C62" s="6"/>
      <c r="D62" s="16">
        <v>12</v>
      </c>
      <c r="E62" s="17">
        <v>45931</v>
      </c>
      <c r="F62" s="16">
        <v>13440000</v>
      </c>
      <c r="G62" s="16">
        <v>1120000</v>
      </c>
      <c r="H62" s="16">
        <v>4480000</v>
      </c>
      <c r="I62" s="16">
        <v>8960000</v>
      </c>
      <c r="J62" s="15" t="s">
        <v>23</v>
      </c>
      <c r="K62" s="15" t="s">
        <v>18</v>
      </c>
      <c r="L62" s="6"/>
      <c r="M62" s="6"/>
      <c r="N62" s="15" t="s">
        <v>120</v>
      </c>
      <c r="O62" s="22" t="s">
        <v>121</v>
      </c>
    </row>
    <row r="63" spans="1:15" ht="30" customHeight="1" x14ac:dyDescent="0.3">
      <c r="A63" s="20" t="s">
        <v>168</v>
      </c>
      <c r="B63" s="6" t="s">
        <v>169</v>
      </c>
      <c r="C63" s="6"/>
      <c r="D63" s="16">
        <v>3</v>
      </c>
      <c r="E63" s="17">
        <v>45931</v>
      </c>
      <c r="F63" s="16">
        <v>315579279</v>
      </c>
      <c r="G63" s="16">
        <v>0</v>
      </c>
      <c r="H63" s="16">
        <v>315579279</v>
      </c>
      <c r="I63" s="16">
        <v>0</v>
      </c>
      <c r="J63" s="15" t="s">
        <v>23</v>
      </c>
      <c r="K63" s="15" t="s">
        <v>170</v>
      </c>
      <c r="L63" s="6"/>
      <c r="M63" s="6"/>
      <c r="N63" s="15" t="s">
        <v>79</v>
      </c>
      <c r="O63" s="22" t="s">
        <v>124</v>
      </c>
    </row>
    <row r="64" spans="1:15" ht="16.2" customHeight="1" x14ac:dyDescent="0.3">
      <c r="A64" s="20" t="s">
        <v>171</v>
      </c>
      <c r="B64" s="6" t="s">
        <v>172</v>
      </c>
      <c r="C64" s="6"/>
      <c r="D64" s="16">
        <v>3</v>
      </c>
      <c r="E64" s="17">
        <v>45931</v>
      </c>
      <c r="F64" s="16">
        <v>99163636</v>
      </c>
      <c r="G64" s="16">
        <v>0</v>
      </c>
      <c r="H64" s="16">
        <v>99163636</v>
      </c>
      <c r="I64" s="16">
        <v>0</v>
      </c>
      <c r="J64" s="15" t="s">
        <v>23</v>
      </c>
      <c r="K64" s="15" t="s">
        <v>170</v>
      </c>
      <c r="L64" s="6"/>
      <c r="M64" s="6"/>
      <c r="N64" s="15" t="s">
        <v>173</v>
      </c>
      <c r="O64" s="22" t="s">
        <v>174</v>
      </c>
    </row>
    <row r="65" spans="1:15" ht="16.2" customHeight="1" x14ac:dyDescent="0.3">
      <c r="A65" s="20" t="s">
        <v>175</v>
      </c>
      <c r="B65" s="6" t="s">
        <v>176</v>
      </c>
      <c r="C65" s="6"/>
      <c r="D65" s="16">
        <v>12</v>
      </c>
      <c r="E65" s="17">
        <v>45967</v>
      </c>
      <c r="F65" s="16">
        <v>57510000</v>
      </c>
      <c r="G65" s="16">
        <v>4792500</v>
      </c>
      <c r="H65" s="16">
        <v>14377500</v>
      </c>
      <c r="I65" s="16">
        <v>43132500</v>
      </c>
      <c r="J65" s="15" t="s">
        <v>23</v>
      </c>
      <c r="K65" s="15" t="s">
        <v>18</v>
      </c>
      <c r="L65" s="6"/>
      <c r="M65" s="6"/>
      <c r="N65" s="15" t="s">
        <v>177</v>
      </c>
      <c r="O65" s="22" t="s">
        <v>178</v>
      </c>
    </row>
    <row r="66" spans="1:15" ht="16.2" customHeight="1" x14ac:dyDescent="0.3">
      <c r="A66" s="20" t="s">
        <v>179</v>
      </c>
      <c r="B66" s="6" t="s">
        <v>180</v>
      </c>
      <c r="C66" s="6"/>
      <c r="D66" s="16">
        <v>12</v>
      </c>
      <c r="E66" s="17">
        <v>45968</v>
      </c>
      <c r="F66" s="16">
        <v>2675000</v>
      </c>
      <c r="G66" s="16">
        <v>222917</v>
      </c>
      <c r="H66" s="16">
        <v>668751</v>
      </c>
      <c r="I66" s="16">
        <v>2006249</v>
      </c>
      <c r="J66" s="15" t="s">
        <v>23</v>
      </c>
      <c r="K66" s="15" t="s">
        <v>18</v>
      </c>
      <c r="L66" s="6"/>
      <c r="M66" s="6"/>
      <c r="N66" s="15" t="s">
        <v>98</v>
      </c>
      <c r="O66" s="22" t="s">
        <v>99</v>
      </c>
    </row>
    <row r="67" spans="1:15" ht="30" customHeight="1" x14ac:dyDescent="0.3">
      <c r="A67" s="20" t="s">
        <v>181</v>
      </c>
      <c r="B67" s="6" t="s">
        <v>182</v>
      </c>
      <c r="C67" s="6"/>
      <c r="D67" s="16">
        <v>60</v>
      </c>
      <c r="E67" s="17">
        <v>45987</v>
      </c>
      <c r="F67" s="16">
        <v>216120000</v>
      </c>
      <c r="G67" s="16">
        <v>3602000</v>
      </c>
      <c r="H67" s="16">
        <v>10806000</v>
      </c>
      <c r="I67" s="16">
        <v>205314000</v>
      </c>
      <c r="J67" s="15" t="s">
        <v>17</v>
      </c>
      <c r="K67" s="15" t="s">
        <v>18</v>
      </c>
      <c r="L67" s="6"/>
      <c r="M67" s="6"/>
      <c r="N67" s="15" t="s">
        <v>44</v>
      </c>
      <c r="O67" s="22" t="s">
        <v>88</v>
      </c>
    </row>
    <row r="68" spans="1:15" ht="30" customHeight="1" x14ac:dyDescent="0.3">
      <c r="A68" s="20" t="s">
        <v>183</v>
      </c>
      <c r="B68" s="6" t="s">
        <v>184</v>
      </c>
      <c r="C68" s="6"/>
      <c r="D68" s="16">
        <v>12</v>
      </c>
      <c r="E68" s="17">
        <v>45986</v>
      </c>
      <c r="F68" s="16">
        <v>258358743</v>
      </c>
      <c r="G68" s="16">
        <v>21529895</v>
      </c>
      <c r="H68" s="16">
        <v>64589685</v>
      </c>
      <c r="I68" s="16">
        <v>193769058</v>
      </c>
      <c r="J68" s="15" t="s">
        <v>28</v>
      </c>
      <c r="K68" s="15" t="s">
        <v>18</v>
      </c>
      <c r="L68" s="6"/>
      <c r="M68" s="6"/>
      <c r="N68" s="15" t="s">
        <v>54</v>
      </c>
      <c r="O68" s="22" t="s">
        <v>157</v>
      </c>
    </row>
    <row r="69" spans="1:15" ht="30" customHeight="1" x14ac:dyDescent="0.3">
      <c r="A69" s="20" t="s">
        <v>185</v>
      </c>
      <c r="B69" s="6" t="s">
        <v>186</v>
      </c>
      <c r="C69" s="6"/>
      <c r="D69" s="16">
        <v>12</v>
      </c>
      <c r="E69" s="17">
        <v>45999</v>
      </c>
      <c r="F69" s="16">
        <v>147600000</v>
      </c>
      <c r="G69" s="16">
        <v>12300000</v>
      </c>
      <c r="H69" s="16">
        <v>24600000</v>
      </c>
      <c r="I69" s="16">
        <v>123000000</v>
      </c>
      <c r="J69" s="15" t="s">
        <v>23</v>
      </c>
      <c r="K69" s="15" t="s">
        <v>18</v>
      </c>
      <c r="L69" s="6"/>
      <c r="M69" s="6"/>
      <c r="N69" s="15" t="s">
        <v>120</v>
      </c>
      <c r="O69" s="22" t="s">
        <v>162</v>
      </c>
    </row>
    <row r="70" spans="1:15" ht="30" customHeight="1" x14ac:dyDescent="0.3">
      <c r="A70" s="20" t="s">
        <v>187</v>
      </c>
      <c r="B70" s="6" t="s">
        <v>188</v>
      </c>
      <c r="C70" s="6"/>
      <c r="D70" s="16">
        <v>36</v>
      </c>
      <c r="E70" s="17">
        <v>46006</v>
      </c>
      <c r="F70" s="16">
        <v>729453445</v>
      </c>
      <c r="G70" s="16">
        <v>20262596</v>
      </c>
      <c r="H70" s="16">
        <v>40525192</v>
      </c>
      <c r="I70" s="16">
        <v>688928253</v>
      </c>
      <c r="J70" s="15" t="s">
        <v>28</v>
      </c>
      <c r="K70" s="15" t="s">
        <v>18</v>
      </c>
      <c r="L70" s="6"/>
      <c r="M70" s="6"/>
      <c r="N70" s="15" t="s">
        <v>79</v>
      </c>
      <c r="O70" s="22" t="s">
        <v>124</v>
      </c>
    </row>
    <row r="71" spans="1:15" ht="16.2" customHeight="1" x14ac:dyDescent="0.3">
      <c r="A71" s="20" t="s">
        <v>189</v>
      </c>
      <c r="B71" s="6" t="s">
        <v>190</v>
      </c>
      <c r="C71" s="6"/>
      <c r="D71" s="16">
        <v>12</v>
      </c>
      <c r="E71" s="17">
        <v>46014</v>
      </c>
      <c r="F71" s="16">
        <v>41680000</v>
      </c>
      <c r="G71" s="16">
        <v>3473333</v>
      </c>
      <c r="H71" s="16">
        <v>6946666</v>
      </c>
      <c r="I71" s="16">
        <v>34733334</v>
      </c>
      <c r="J71" s="15" t="s">
        <v>23</v>
      </c>
      <c r="K71" s="15" t="s">
        <v>18</v>
      </c>
      <c r="L71" s="6"/>
      <c r="M71" s="6"/>
      <c r="N71" s="15" t="s">
        <v>79</v>
      </c>
      <c r="O71" s="22" t="s">
        <v>124</v>
      </c>
    </row>
    <row r="72" spans="1:15" ht="30" customHeight="1" x14ac:dyDescent="0.3">
      <c r="A72" s="20" t="s">
        <v>191</v>
      </c>
      <c r="B72" s="6" t="s">
        <v>192</v>
      </c>
      <c r="C72" s="6"/>
      <c r="D72" s="16">
        <v>12</v>
      </c>
      <c r="E72" s="17">
        <v>46020</v>
      </c>
      <c r="F72" s="16">
        <v>83176000</v>
      </c>
      <c r="G72" s="16">
        <v>6931333</v>
      </c>
      <c r="H72" s="16">
        <v>13862666</v>
      </c>
      <c r="I72" s="16">
        <v>69313334</v>
      </c>
      <c r="J72" s="15" t="s">
        <v>23</v>
      </c>
      <c r="K72" s="15" t="s">
        <v>18</v>
      </c>
      <c r="L72" s="6"/>
      <c r="M72" s="6"/>
      <c r="N72" s="15" t="s">
        <v>68</v>
      </c>
      <c r="O72" s="22" t="s">
        <v>193</v>
      </c>
    </row>
    <row r="73" spans="1:15" ht="43.2" customHeight="1" x14ac:dyDescent="0.3">
      <c r="A73" s="20" t="s">
        <v>194</v>
      </c>
      <c r="B73" s="6" t="s">
        <v>195</v>
      </c>
      <c r="C73" s="6"/>
      <c r="D73" s="16">
        <v>502</v>
      </c>
      <c r="E73" s="17">
        <v>45658</v>
      </c>
      <c r="F73" s="16">
        <v>48757205527</v>
      </c>
      <c r="G73" s="16">
        <v>97125907</v>
      </c>
      <c r="H73" s="16">
        <v>1262636791</v>
      </c>
      <c r="I73" s="16">
        <v>47494568736</v>
      </c>
      <c r="J73" s="15" t="s">
        <v>28</v>
      </c>
      <c r="K73" s="15" t="s">
        <v>18</v>
      </c>
      <c r="L73" s="6"/>
      <c r="M73" s="6"/>
      <c r="N73" s="15" t="s">
        <v>63</v>
      </c>
      <c r="O73" s="22" t="s">
        <v>154</v>
      </c>
    </row>
    <row r="74" spans="1:15" ht="30" customHeight="1" x14ac:dyDescent="0.3">
      <c r="A74" s="20" t="s">
        <v>196</v>
      </c>
      <c r="B74" s="6" t="s">
        <v>197</v>
      </c>
      <c r="C74" s="6"/>
      <c r="D74" s="16">
        <v>3</v>
      </c>
      <c r="E74" s="17">
        <v>46023</v>
      </c>
      <c r="F74" s="16">
        <v>315579279</v>
      </c>
      <c r="G74" s="16">
        <v>105193093</v>
      </c>
      <c r="H74" s="16">
        <v>105193093</v>
      </c>
      <c r="I74" s="16">
        <v>210386186</v>
      </c>
      <c r="J74" s="15" t="s">
        <v>23</v>
      </c>
      <c r="K74" s="15" t="s">
        <v>170</v>
      </c>
      <c r="L74" s="6"/>
      <c r="M74" s="6"/>
      <c r="N74" s="15" t="s">
        <v>79</v>
      </c>
      <c r="O74" s="22" t="s">
        <v>124</v>
      </c>
    </row>
    <row r="75" spans="1:15" ht="30" customHeight="1" x14ac:dyDescent="0.3">
      <c r="A75" s="20" t="s">
        <v>198</v>
      </c>
      <c r="B75" s="6" t="s">
        <v>199</v>
      </c>
      <c r="C75" s="6"/>
      <c r="D75" s="16">
        <v>12</v>
      </c>
      <c r="E75" s="17">
        <v>46041</v>
      </c>
      <c r="F75" s="16">
        <v>12517627</v>
      </c>
      <c r="G75" s="16">
        <v>1043136</v>
      </c>
      <c r="H75" s="16">
        <v>1043136</v>
      </c>
      <c r="I75" s="16">
        <v>11474491</v>
      </c>
      <c r="J75" s="15" t="s">
        <v>23</v>
      </c>
      <c r="K75" s="15" t="s">
        <v>18</v>
      </c>
      <c r="L75" s="6"/>
      <c r="M75" s="6"/>
      <c r="N75" s="15" t="s">
        <v>79</v>
      </c>
      <c r="O75" s="22" t="s">
        <v>124</v>
      </c>
    </row>
    <row r="76" spans="1:15" ht="30" customHeight="1" x14ac:dyDescent="0.3">
      <c r="A76" s="20" t="s">
        <v>200</v>
      </c>
      <c r="B76" s="6" t="s">
        <v>201</v>
      </c>
      <c r="C76" s="6"/>
      <c r="D76" s="16">
        <v>12</v>
      </c>
      <c r="E76" s="17">
        <v>46046</v>
      </c>
      <c r="F76" s="16">
        <v>59826250</v>
      </c>
      <c r="G76" s="16">
        <v>4985521</v>
      </c>
      <c r="H76" s="16">
        <v>4985521</v>
      </c>
      <c r="I76" s="16">
        <v>54840729</v>
      </c>
      <c r="J76" s="15" t="s">
        <v>23</v>
      </c>
      <c r="K76" s="15" t="s">
        <v>18</v>
      </c>
      <c r="L76" s="6"/>
      <c r="M76" s="6"/>
      <c r="N76" s="15" t="s">
        <v>163</v>
      </c>
      <c r="O76" s="22" t="s">
        <v>202</v>
      </c>
    </row>
    <row r="77" spans="1:15" ht="16.2" customHeight="1" x14ac:dyDescent="0.3">
      <c r="A77" s="20" t="s">
        <v>203</v>
      </c>
      <c r="B77" s="6" t="s">
        <v>204</v>
      </c>
      <c r="C77" s="6"/>
      <c r="D77" s="16">
        <v>3</v>
      </c>
      <c r="E77" s="17">
        <v>46023</v>
      </c>
      <c r="F77" s="16">
        <v>99163636</v>
      </c>
      <c r="G77" s="16">
        <v>33054545</v>
      </c>
      <c r="H77" s="16">
        <v>33054545</v>
      </c>
      <c r="I77" s="16">
        <v>66109091</v>
      </c>
      <c r="J77" s="15" t="s">
        <v>23</v>
      </c>
      <c r="K77" s="15" t="s">
        <v>170</v>
      </c>
      <c r="L77" s="6"/>
      <c r="M77" s="6"/>
      <c r="N77" s="15" t="s">
        <v>173</v>
      </c>
      <c r="O77" s="22" t="s">
        <v>174</v>
      </c>
    </row>
    <row r="78" spans="1:15" ht="16.2" customHeight="1" x14ac:dyDescent="0.3">
      <c r="A78" s="20" t="s">
        <v>205</v>
      </c>
      <c r="B78" s="6" t="s">
        <v>206</v>
      </c>
      <c r="C78" s="6"/>
      <c r="D78" s="16">
        <v>9</v>
      </c>
      <c r="E78" s="17">
        <v>46042</v>
      </c>
      <c r="F78" s="16">
        <v>7992000</v>
      </c>
      <c r="G78" s="16">
        <v>888000</v>
      </c>
      <c r="H78" s="16">
        <v>888000</v>
      </c>
      <c r="I78" s="16">
        <v>7104000</v>
      </c>
      <c r="J78" s="15" t="s">
        <v>23</v>
      </c>
      <c r="K78" s="15" t="s">
        <v>18</v>
      </c>
      <c r="L78" s="6"/>
      <c r="M78" s="6"/>
      <c r="N78" s="15" t="s">
        <v>68</v>
      </c>
      <c r="O78" s="22" t="s">
        <v>193</v>
      </c>
    </row>
    <row r="79" spans="1:15" ht="16.2" customHeight="1" x14ac:dyDescent="0.3">
      <c r="A79" s="20" t="s">
        <v>207</v>
      </c>
      <c r="B79" s="6" t="s">
        <v>206</v>
      </c>
      <c r="C79" s="6"/>
      <c r="D79" s="16">
        <v>12</v>
      </c>
      <c r="E79" s="17">
        <v>46042</v>
      </c>
      <c r="F79" s="16">
        <v>3969000</v>
      </c>
      <c r="G79" s="16">
        <v>330750</v>
      </c>
      <c r="H79" s="16">
        <v>330750</v>
      </c>
      <c r="I79" s="16">
        <v>3638250</v>
      </c>
      <c r="J79" s="15" t="s">
        <v>23</v>
      </c>
      <c r="K79" s="15" t="s">
        <v>18</v>
      </c>
      <c r="L79" s="6"/>
      <c r="M79" s="6"/>
      <c r="N79" s="15" t="s">
        <v>102</v>
      </c>
      <c r="O79" s="22" t="s">
        <v>103</v>
      </c>
    </row>
    <row r="80" spans="1:15" ht="16.2" customHeight="1" x14ac:dyDescent="0.3">
      <c r="A80" s="20" t="s">
        <v>208</v>
      </c>
      <c r="B80" s="6" t="s">
        <v>206</v>
      </c>
      <c r="C80" s="6"/>
      <c r="D80" s="16">
        <v>10</v>
      </c>
      <c r="E80" s="17">
        <v>46042</v>
      </c>
      <c r="F80" s="16">
        <v>8968000</v>
      </c>
      <c r="G80" s="16">
        <v>896800</v>
      </c>
      <c r="H80" s="16">
        <v>896800</v>
      </c>
      <c r="I80" s="16">
        <v>8071200</v>
      </c>
      <c r="J80" s="15" t="s">
        <v>23</v>
      </c>
      <c r="K80" s="15" t="s">
        <v>18</v>
      </c>
      <c r="L80" s="6"/>
      <c r="M80" s="6"/>
      <c r="N80" s="15" t="s">
        <v>102</v>
      </c>
      <c r="O80" s="22" t="s">
        <v>103</v>
      </c>
    </row>
    <row r="81" spans="1:15" ht="30" customHeight="1" x14ac:dyDescent="0.3">
      <c r="A81" s="20" t="s">
        <v>209</v>
      </c>
      <c r="B81" s="6" t="s">
        <v>210</v>
      </c>
      <c r="C81" s="6"/>
      <c r="D81" s="16">
        <v>12</v>
      </c>
      <c r="E81" s="17">
        <v>45979</v>
      </c>
      <c r="F81" s="16">
        <v>221953585</v>
      </c>
      <c r="G81" s="16">
        <v>18496132</v>
      </c>
      <c r="H81" s="16">
        <v>55488396</v>
      </c>
      <c r="I81" s="16">
        <v>166465189</v>
      </c>
      <c r="J81" s="15" t="s">
        <v>17</v>
      </c>
      <c r="K81" s="15" t="s">
        <v>18</v>
      </c>
      <c r="L81" s="6"/>
      <c r="M81" s="6"/>
      <c r="N81" s="15" t="s">
        <v>44</v>
      </c>
      <c r="O81" s="22" t="s">
        <v>88</v>
      </c>
    </row>
    <row r="82" spans="1:15" ht="16.2" customHeight="1" x14ac:dyDescent="0.3">
      <c r="A82" s="20" t="s">
        <v>211</v>
      </c>
      <c r="B82" s="6" t="s">
        <v>151</v>
      </c>
      <c r="C82" s="6"/>
      <c r="D82" s="16">
        <v>8</v>
      </c>
      <c r="E82" s="17">
        <v>45658</v>
      </c>
      <c r="F82" s="16">
        <v>68093332</v>
      </c>
      <c r="G82" s="16">
        <v>0</v>
      </c>
      <c r="H82" s="16">
        <v>68093332</v>
      </c>
      <c r="I82" s="16">
        <v>0</v>
      </c>
      <c r="J82" s="15" t="s">
        <v>49</v>
      </c>
      <c r="K82" s="15" t="s">
        <v>18</v>
      </c>
      <c r="L82" s="6"/>
      <c r="M82" s="6"/>
      <c r="N82" s="15" t="s">
        <v>212</v>
      </c>
      <c r="O82" s="22" t="s">
        <v>178</v>
      </c>
    </row>
    <row r="83" spans="1:15" ht="16.2" customHeight="1" x14ac:dyDescent="0.3">
      <c r="A83" s="20" t="s">
        <v>213</v>
      </c>
      <c r="B83" s="6" t="s">
        <v>214</v>
      </c>
      <c r="C83" s="6"/>
      <c r="D83" s="16">
        <v>11</v>
      </c>
      <c r="E83" s="17">
        <v>45658</v>
      </c>
      <c r="F83" s="16">
        <v>165456637</v>
      </c>
      <c r="G83" s="16">
        <v>0</v>
      </c>
      <c r="H83" s="16">
        <v>165456637</v>
      </c>
      <c r="I83" s="16">
        <v>0</v>
      </c>
      <c r="J83" s="15" t="s">
        <v>49</v>
      </c>
      <c r="K83" s="15" t="s">
        <v>18</v>
      </c>
      <c r="L83" s="6"/>
      <c r="M83" s="6"/>
      <c r="N83" s="15" t="s">
        <v>44</v>
      </c>
      <c r="O83" s="22" t="s">
        <v>88</v>
      </c>
    </row>
    <row r="84" spans="1:15" ht="16.2" customHeight="1" x14ac:dyDescent="0.3">
      <c r="A84" s="20" t="s">
        <v>215</v>
      </c>
      <c r="B84" s="6" t="s">
        <v>216</v>
      </c>
      <c r="C84" s="6"/>
      <c r="D84" s="16">
        <v>11</v>
      </c>
      <c r="E84" s="17">
        <v>45658</v>
      </c>
      <c r="F84" s="16">
        <v>55000000</v>
      </c>
      <c r="G84" s="16">
        <v>0</v>
      </c>
      <c r="H84" s="16">
        <v>0</v>
      </c>
      <c r="I84" s="16">
        <v>55000000</v>
      </c>
      <c r="J84" s="15" t="s">
        <v>49</v>
      </c>
      <c r="K84" s="15" t="s">
        <v>170</v>
      </c>
      <c r="L84" s="6"/>
      <c r="M84" s="6"/>
      <c r="N84" s="15" t="s">
        <v>44</v>
      </c>
      <c r="O84" s="22" t="s">
        <v>88</v>
      </c>
    </row>
    <row r="85" spans="1:15" ht="16.2" customHeight="1" x14ac:dyDescent="0.3">
      <c r="A85" s="20" t="s">
        <v>215</v>
      </c>
      <c r="B85" s="6" t="s">
        <v>216</v>
      </c>
      <c r="C85" s="6"/>
      <c r="D85" s="16">
        <v>11</v>
      </c>
      <c r="E85" s="17">
        <v>45658</v>
      </c>
      <c r="F85" s="16">
        <v>0</v>
      </c>
      <c r="G85" s="16">
        <v>0</v>
      </c>
      <c r="H85" s="16">
        <v>55000000</v>
      </c>
      <c r="I85" s="16">
        <v>-55000000</v>
      </c>
      <c r="J85" s="15" t="s">
        <v>49</v>
      </c>
      <c r="K85" s="15" t="s">
        <v>18</v>
      </c>
      <c r="L85" s="6"/>
      <c r="M85" s="6"/>
      <c r="N85" s="15" t="s">
        <v>44</v>
      </c>
      <c r="O85" s="22" t="s">
        <v>88</v>
      </c>
    </row>
    <row r="86" spans="1:15" ht="14.4" customHeight="1" x14ac:dyDescent="0.3">
      <c r="A86" s="21"/>
      <c r="B86" s="5" t="s">
        <v>217</v>
      </c>
      <c r="C86" s="5"/>
      <c r="D86" s="5"/>
      <c r="E86" s="5"/>
      <c r="F86" s="19">
        <f>SUBTOTAL(9,F6:F85)</f>
        <v>58852719151</v>
      </c>
      <c r="G86" s="19">
        <f>SUBTOTAL(9,G6:G85)</f>
        <v>522057915</v>
      </c>
      <c r="H86" s="19">
        <f>SUBTOTAL(9,H6:H85)</f>
        <v>7515657452</v>
      </c>
      <c r="I86" s="19">
        <f>SUBTOTAL(9,I6:I85)</f>
        <v>51337061699</v>
      </c>
      <c r="J86" s="18"/>
      <c r="K86" s="18"/>
      <c r="L86" s="5"/>
      <c r="M86" s="5"/>
      <c r="N86" s="18"/>
      <c r="O86" s="23"/>
    </row>
    <row r="87" spans="1:15" ht="19.8" customHeight="1" x14ac:dyDescent="0.3">
      <c r="A87" s="4"/>
      <c r="B87" s="4"/>
      <c r="C87" s="4"/>
      <c r="D87" s="4"/>
      <c r="E87" s="4"/>
      <c r="F87" s="4"/>
      <c r="G87" s="4"/>
      <c r="H87" s="4"/>
      <c r="I87" s="4"/>
      <c r="J87" s="4"/>
      <c r="K87" s="4"/>
      <c r="L87" s="4"/>
      <c r="M87" s="3" t="s">
        <v>218</v>
      </c>
      <c r="N87" s="3"/>
      <c r="O87" s="3"/>
    </row>
    <row r="88" spans="1:15" ht="13.8" customHeight="1" x14ac:dyDescent="0.3">
      <c r="A88" s="2" t="s">
        <v>219</v>
      </c>
      <c r="B88" s="2"/>
      <c r="C88" s="4"/>
      <c r="D88" s="4"/>
      <c r="E88" s="4"/>
      <c r="F88" s="4"/>
      <c r="G88" s="4"/>
      <c r="H88" s="4"/>
      <c r="I88" s="4"/>
      <c r="J88" s="4"/>
      <c r="K88" s="4"/>
      <c r="L88" s="4"/>
      <c r="M88" s="2" t="s">
        <v>220</v>
      </c>
      <c r="N88" s="2"/>
      <c r="O88" s="2"/>
    </row>
    <row r="89" spans="1:15" ht="21.6" customHeight="1" x14ac:dyDescent="0.3">
      <c r="A89" s="1" t="s">
        <v>221</v>
      </c>
      <c r="B89" s="1"/>
      <c r="C89" s="4"/>
      <c r="D89" s="4"/>
      <c r="E89" s="4"/>
      <c r="F89" s="4"/>
      <c r="G89" s="4"/>
      <c r="H89" s="4"/>
      <c r="I89" s="4"/>
      <c r="J89" s="4"/>
      <c r="K89" s="4"/>
      <c r="L89" s="4"/>
      <c r="M89" s="1" t="s">
        <v>221</v>
      </c>
      <c r="N89" s="1"/>
      <c r="O89" s="1"/>
    </row>
  </sheetData>
  <autoFilter ref="A5:O5" xr:uid="{00000000-0001-0000-0000-000000000000}">
    <filterColumn colId="1" showButton="0"/>
    <filterColumn colId="11" showButton="0"/>
  </autoFilter>
  <mergeCells count="176">
    <mergeCell ref="A88:B88"/>
    <mergeCell ref="C88:L88"/>
    <mergeCell ref="M88:O88"/>
    <mergeCell ref="A89:B89"/>
    <mergeCell ref="C89:L89"/>
    <mergeCell ref="M89:O89"/>
    <mergeCell ref="B83:C83"/>
    <mergeCell ref="L83:M83"/>
    <mergeCell ref="B84:C84"/>
    <mergeCell ref="L84:M84"/>
    <mergeCell ref="B85:C85"/>
    <mergeCell ref="L85:M85"/>
    <mergeCell ref="B86:E86"/>
    <mergeCell ref="L86:M86"/>
    <mergeCell ref="A87:B87"/>
    <mergeCell ref="C87:L87"/>
    <mergeCell ref="M87:O87"/>
    <mergeCell ref="B78:C78"/>
    <mergeCell ref="L78:M78"/>
    <mergeCell ref="B79:C79"/>
    <mergeCell ref="L79:M79"/>
    <mergeCell ref="B80:C80"/>
    <mergeCell ref="L80:M80"/>
    <mergeCell ref="B81:C81"/>
    <mergeCell ref="L81:M81"/>
    <mergeCell ref="B82:C82"/>
    <mergeCell ref="L82:M82"/>
    <mergeCell ref="B73:C73"/>
    <mergeCell ref="L73:M73"/>
    <mergeCell ref="B74:C74"/>
    <mergeCell ref="L74:M74"/>
    <mergeCell ref="B75:C75"/>
    <mergeCell ref="L75:M75"/>
    <mergeCell ref="B76:C76"/>
    <mergeCell ref="L76:M76"/>
    <mergeCell ref="B77:C77"/>
    <mergeCell ref="L77:M77"/>
    <mergeCell ref="B68:C68"/>
    <mergeCell ref="L68:M68"/>
    <mergeCell ref="B69:C69"/>
    <mergeCell ref="L69:M69"/>
    <mergeCell ref="B70:C70"/>
    <mergeCell ref="L70:M70"/>
    <mergeCell ref="B71:C71"/>
    <mergeCell ref="L71:M71"/>
    <mergeCell ref="B72:C72"/>
    <mergeCell ref="L72:M72"/>
    <mergeCell ref="B63:C63"/>
    <mergeCell ref="L63:M63"/>
    <mergeCell ref="B64:C64"/>
    <mergeCell ref="L64:M64"/>
    <mergeCell ref="B65:C65"/>
    <mergeCell ref="L65:M65"/>
    <mergeCell ref="B66:C66"/>
    <mergeCell ref="L66:M66"/>
    <mergeCell ref="B67:C67"/>
    <mergeCell ref="L67:M67"/>
    <mergeCell ref="B58:C58"/>
    <mergeCell ref="L58:M58"/>
    <mergeCell ref="B59:C59"/>
    <mergeCell ref="L59:M59"/>
    <mergeCell ref="B60:C60"/>
    <mergeCell ref="L60:M60"/>
    <mergeCell ref="B61:C61"/>
    <mergeCell ref="L61:M61"/>
    <mergeCell ref="B62:C62"/>
    <mergeCell ref="L62:M62"/>
    <mergeCell ref="B53:C53"/>
    <mergeCell ref="L53:M53"/>
    <mergeCell ref="B54:C54"/>
    <mergeCell ref="L54:M54"/>
    <mergeCell ref="B55:C55"/>
    <mergeCell ref="L55:M55"/>
    <mergeCell ref="B56:C56"/>
    <mergeCell ref="L56:M56"/>
    <mergeCell ref="B57:C57"/>
    <mergeCell ref="L57:M57"/>
    <mergeCell ref="B48:C48"/>
    <mergeCell ref="L48:M48"/>
    <mergeCell ref="B49:C49"/>
    <mergeCell ref="L49:M49"/>
    <mergeCell ref="B50:C50"/>
    <mergeCell ref="L50:M50"/>
    <mergeCell ref="B51:C51"/>
    <mergeCell ref="L51:M51"/>
    <mergeCell ref="B52:C52"/>
    <mergeCell ref="L52:M52"/>
    <mergeCell ref="B43:C43"/>
    <mergeCell ref="L43:M43"/>
    <mergeCell ref="B44:C44"/>
    <mergeCell ref="L44:M44"/>
    <mergeCell ref="B45:C45"/>
    <mergeCell ref="L45:M45"/>
    <mergeCell ref="B46:C46"/>
    <mergeCell ref="L46:M46"/>
    <mergeCell ref="B47:C47"/>
    <mergeCell ref="L47:M47"/>
    <mergeCell ref="B38:C38"/>
    <mergeCell ref="L38:M38"/>
    <mergeCell ref="B39:C39"/>
    <mergeCell ref="L39:M39"/>
    <mergeCell ref="B40:C40"/>
    <mergeCell ref="L40:M40"/>
    <mergeCell ref="B41:C41"/>
    <mergeCell ref="L41:M41"/>
    <mergeCell ref="B42:C42"/>
    <mergeCell ref="L42:M42"/>
    <mergeCell ref="B33:C33"/>
    <mergeCell ref="L33:M33"/>
    <mergeCell ref="B34:C34"/>
    <mergeCell ref="L34:M34"/>
    <mergeCell ref="B35:C35"/>
    <mergeCell ref="L35:M35"/>
    <mergeCell ref="B36:C36"/>
    <mergeCell ref="L36:M36"/>
    <mergeCell ref="B37:C37"/>
    <mergeCell ref="L37:M37"/>
    <mergeCell ref="B28:C28"/>
    <mergeCell ref="L28:M28"/>
    <mergeCell ref="B29:C29"/>
    <mergeCell ref="L29:M29"/>
    <mergeCell ref="B30:C30"/>
    <mergeCell ref="L30:M30"/>
    <mergeCell ref="B31:C31"/>
    <mergeCell ref="L31:M31"/>
    <mergeCell ref="B32:C32"/>
    <mergeCell ref="L32:M32"/>
    <mergeCell ref="B23:C23"/>
    <mergeCell ref="L23:M23"/>
    <mergeCell ref="B24:C24"/>
    <mergeCell ref="L24:M24"/>
    <mergeCell ref="B25:C25"/>
    <mergeCell ref="L25:M25"/>
    <mergeCell ref="B26:C26"/>
    <mergeCell ref="L26:M26"/>
    <mergeCell ref="B27:C27"/>
    <mergeCell ref="L27:M27"/>
    <mergeCell ref="B18:C18"/>
    <mergeCell ref="L18:M18"/>
    <mergeCell ref="B19:C19"/>
    <mergeCell ref="L19:M19"/>
    <mergeCell ref="B20:C20"/>
    <mergeCell ref="L20:M20"/>
    <mergeCell ref="B21:C21"/>
    <mergeCell ref="L21:M21"/>
    <mergeCell ref="B22:C22"/>
    <mergeCell ref="L22:M22"/>
    <mergeCell ref="B13:C13"/>
    <mergeCell ref="L13:M13"/>
    <mergeCell ref="B14:C14"/>
    <mergeCell ref="L14:M14"/>
    <mergeCell ref="B15:C15"/>
    <mergeCell ref="L15:M15"/>
    <mergeCell ref="B16:C16"/>
    <mergeCell ref="L16:M16"/>
    <mergeCell ref="B17:C17"/>
    <mergeCell ref="L17:M17"/>
    <mergeCell ref="B8:C8"/>
    <mergeCell ref="L8:M8"/>
    <mergeCell ref="B9:C9"/>
    <mergeCell ref="L9:M9"/>
    <mergeCell ref="B10:C10"/>
    <mergeCell ref="L10:M10"/>
    <mergeCell ref="B11:C11"/>
    <mergeCell ref="L11:M11"/>
    <mergeCell ref="B12:C12"/>
    <mergeCell ref="L12:M12"/>
    <mergeCell ref="A2:O2"/>
    <mergeCell ref="A3:O3"/>
    <mergeCell ref="A4:O4"/>
    <mergeCell ref="B5:C5"/>
    <mergeCell ref="L5:M5"/>
    <mergeCell ref="B6:C6"/>
    <mergeCell ref="L6:M6"/>
    <mergeCell ref="B7:C7"/>
    <mergeCell ref="L7:M7"/>
  </mergeCells>
  <printOptions horizontalCentered="1"/>
  <pageMargins left="0" right="0" top="0.58999997377395597" bottom="0.58999997377395597" header="0.5" footer="0.5"/>
  <pageSetup paperSize="9" orientation="landscape"/>
  <ignoredErrors>
    <ignoredError sqref="A1:P90" numberStoredAsText="1"/>
  </ignoredErrors>
  <drawing r:id="rId1"/>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Bảng tổng hợp chi phí chờ phân </vt:lpstr>
    </vt:vector>
  </TitlesOfParts>
  <Manager/>
  <Company>Bravo Software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Bảng tổng hợp chi phí chờ phân bổ</dc:title>
  <dc:subject>Bảng tổng hợp chi phí chờ phân bổ</dc:subject>
  <dc:creator>Bravo 8 4.6.5.1</dc:creator>
  <cp:keywords/>
  <dc:description/>
  <cp:lastModifiedBy>Nguyen Dang Thuy Vi (Alba)</cp:lastModifiedBy>
  <dcterms:modified xsi:type="dcterms:W3CDTF">2026-07-10T08:03:06Z</dcterms:modified>
  <cp:category/>
</cp:coreProperties>
</file>